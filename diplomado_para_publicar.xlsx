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DrZagal Practicas Curso Citizen\PracticasDrZagal\"/>
    </mc:Choice>
  </mc:AlternateContent>
  <xr:revisionPtr revIDLastSave="0" documentId="13_ncr:1_{2B9C2DE7-136A-4C9B-BAA0-0AC62C424C0B}" xr6:coauthVersionLast="36" xr6:coauthVersionMax="47" xr10:uidLastSave="{00000000-0000-0000-0000-000000000000}"/>
  <bookViews>
    <workbookView xWindow="0" yWindow="0" windowWidth="20490" windowHeight="7425" activeTab="5" xr2:uid="{00000000-000D-0000-FFFF-FFFF00000000}"/>
  </bookViews>
  <sheets>
    <sheet name="2022" sheetId="1" r:id="rId1"/>
    <sheet name="2023" sheetId="2" r:id="rId2"/>
    <sheet name="2024" sheetId="3" r:id="rId3"/>
    <sheet name="2025" sheetId="4" r:id="rId4"/>
    <sheet name="2026" sheetId="5" r:id="rId5"/>
    <sheet name="2022 al 2025 Juntas" sheetId="6" r:id="rId6"/>
  </sheets>
  <calcPr calcId="191028"/>
</workbook>
</file>

<file path=xl/calcChain.xml><?xml version="1.0" encoding="utf-8"?>
<calcChain xmlns="http://schemas.openxmlformats.org/spreadsheetml/2006/main">
  <c r="CU5" i="6" l="1"/>
  <c r="CU4" i="6"/>
  <c r="CU3" i="6"/>
  <c r="CV2" i="6"/>
  <c r="BO1" i="6"/>
  <c r="BA1" i="6"/>
  <c r="W1" i="6"/>
  <c r="D1" i="6"/>
  <c r="CU16" i="6" l="1"/>
  <c r="CU7" i="6"/>
  <c r="CU15" i="6"/>
  <c r="CU14" i="6"/>
  <c r="CU13" i="6"/>
  <c r="CU12" i="6"/>
  <c r="CU11" i="6"/>
  <c r="CU8" i="6"/>
  <c r="CU10" i="6"/>
  <c r="CV10" i="6" s="1"/>
  <c r="CU9" i="6"/>
  <c r="CV9" i="6" s="1"/>
  <c r="CU6" i="6"/>
  <c r="AJ18" i="5"/>
  <c r="AJ9" i="5"/>
  <c r="AK18" i="5"/>
  <c r="AJ17" i="5"/>
  <c r="AK17" i="5"/>
  <c r="AJ16" i="5"/>
  <c r="AK16" i="5"/>
  <c r="AJ15" i="5"/>
  <c r="AK15" i="5"/>
  <c r="AJ14" i="5"/>
  <c r="AK14" i="5"/>
  <c r="AJ13" i="5"/>
  <c r="AJ10" i="5"/>
  <c r="AK13" i="5"/>
  <c r="AJ12" i="5"/>
  <c r="AK12" i="5"/>
  <c r="AJ11" i="5"/>
  <c r="AK11" i="5"/>
  <c r="AJ8" i="5"/>
  <c r="AJ7" i="5"/>
  <c r="AJ6" i="5"/>
  <c r="AJ5" i="5"/>
  <c r="C2" i="5"/>
  <c r="AD18" i="4"/>
  <c r="AD9" i="4"/>
  <c r="AE18" i="4"/>
  <c r="AD17" i="4"/>
  <c r="AE17" i="4"/>
  <c r="AD16" i="4"/>
  <c r="AE16" i="4"/>
  <c r="AD15" i="4"/>
  <c r="AE15" i="4"/>
  <c r="AD14" i="4"/>
  <c r="AE14" i="4"/>
  <c r="AD13" i="4"/>
  <c r="AD10" i="4"/>
  <c r="AE13" i="4"/>
  <c r="AD12" i="4"/>
  <c r="AE12" i="4"/>
  <c r="AD11" i="4"/>
  <c r="AE11" i="4"/>
  <c r="AD8" i="4"/>
  <c r="AD7" i="4"/>
  <c r="AD6" i="4"/>
  <c r="AD5" i="4"/>
  <c r="C2" i="4"/>
  <c r="W18" i="3"/>
  <c r="W9" i="3"/>
  <c r="X18" i="3"/>
  <c r="W17" i="3"/>
  <c r="X17" i="3"/>
  <c r="W16" i="3"/>
  <c r="X16" i="3"/>
  <c r="W15" i="3"/>
  <c r="X15" i="3"/>
  <c r="W14" i="3"/>
  <c r="X14" i="3"/>
  <c r="W13" i="3"/>
  <c r="W10" i="3"/>
  <c r="X13" i="3"/>
  <c r="W12" i="3"/>
  <c r="X12" i="3"/>
  <c r="W11" i="3"/>
  <c r="X11" i="3"/>
  <c r="W8" i="3"/>
  <c r="W7" i="3"/>
  <c r="W6" i="3"/>
  <c r="W5" i="3"/>
  <c r="C2" i="3"/>
  <c r="AG18" i="2"/>
  <c r="AG9" i="2"/>
  <c r="AH18" i="2"/>
  <c r="AG17" i="2"/>
  <c r="AH17" i="2"/>
  <c r="AG16" i="2"/>
  <c r="AH16" i="2"/>
  <c r="AG15" i="2"/>
  <c r="AH15" i="2"/>
  <c r="AG14" i="2"/>
  <c r="AH14" i="2"/>
  <c r="AG13" i="2"/>
  <c r="AG10" i="2"/>
  <c r="AH13" i="2"/>
  <c r="AG12" i="2"/>
  <c r="AH12" i="2"/>
  <c r="AG11" i="2"/>
  <c r="AH11" i="2"/>
  <c r="AG8" i="2"/>
  <c r="AG7" i="2"/>
  <c r="AG6" i="2"/>
  <c r="AG5" i="2"/>
  <c r="C2" i="2"/>
  <c r="V18" i="1"/>
  <c r="V9" i="1"/>
  <c r="W18" i="1"/>
  <c r="V17" i="1"/>
  <c r="W17" i="1"/>
  <c r="V16" i="1"/>
  <c r="W16" i="1"/>
  <c r="V15" i="1"/>
  <c r="W15" i="1"/>
  <c r="V14" i="1"/>
  <c r="W14" i="1"/>
  <c r="V13" i="1"/>
  <c r="V10" i="1"/>
  <c r="W13" i="1"/>
  <c r="V12" i="1"/>
  <c r="W12" i="1"/>
  <c r="V11" i="1"/>
  <c r="W11" i="1"/>
  <c r="V8" i="1"/>
  <c r="V7" i="1"/>
  <c r="V6" i="1"/>
  <c r="V5" i="1"/>
  <c r="C2" i="1"/>
  <c r="CV11" i="6" l="1"/>
  <c r="CV13" i="6"/>
  <c r="CV16" i="6"/>
  <c r="CV12" i="6"/>
  <c r="CV15" i="6"/>
  <c r="CV14" i="6"/>
</calcChain>
</file>

<file path=xl/sharedStrings.xml><?xml version="1.0" encoding="utf-8"?>
<sst xmlns="http://schemas.openxmlformats.org/spreadsheetml/2006/main" count="303" uniqueCount="148">
  <si>
    <t>N=</t>
  </si>
  <si>
    <t>RZP 01 2023</t>
  </si>
  <si>
    <t>MLE 002 2022</t>
  </si>
  <si>
    <t>MLE 004 2022</t>
  </si>
  <si>
    <t>MLE 005 2022</t>
  </si>
  <si>
    <t>MLE 008 2022</t>
  </si>
  <si>
    <t>MLE 011 2022</t>
  </si>
  <si>
    <t>RZP 01 2022</t>
  </si>
  <si>
    <t>RZP 02 2022</t>
  </si>
  <si>
    <t>RZP 03 2022</t>
  </si>
  <si>
    <t>RZP 04 2022</t>
  </si>
  <si>
    <t>RZP 05 2022</t>
  </si>
  <si>
    <t>RZP 07 2022</t>
  </si>
  <si>
    <t>RZP 08 2022</t>
  </si>
  <si>
    <t>RZP 09 2022</t>
  </si>
  <si>
    <t>RZP 10 2022</t>
  </si>
  <si>
    <t>RZP 11 2022</t>
  </si>
  <si>
    <t>RZP 12 2022</t>
  </si>
  <si>
    <t>RZP 13 2022</t>
  </si>
  <si>
    <t>RZP 14 2022</t>
  </si>
  <si>
    <t>TOT</t>
  </si>
  <si>
    <t>Archivos totales</t>
  </si>
  <si>
    <t>Archivos Imagen</t>
  </si>
  <si>
    <t>Archivos Video</t>
  </si>
  <si>
    <t>Total Imágenes analizadas</t>
  </si>
  <si>
    <t>Imágenes Analizadas</t>
  </si>
  <si>
    <t>Personas en total</t>
  </si>
  <si>
    <t>Hombres</t>
  </si>
  <si>
    <t>%</t>
  </si>
  <si>
    <t>Mujeres</t>
  </si>
  <si>
    <t>Sin determinar sexo y/o edad clínica</t>
  </si>
  <si>
    <t>&lt; 10 años  TANNER 01</t>
  </si>
  <si>
    <t>10 a 11.5 años  TANNER 02</t>
  </si>
  <si>
    <t xml:space="preserve">11.5 a 13 años  TANNER 03 </t>
  </si>
  <si>
    <t xml:space="preserve">13 a 15 años  TANNER 04 </t>
  </si>
  <si>
    <t xml:space="preserve">&gt; 15 años  TANNER 05 </t>
  </si>
  <si>
    <t>RZP 02 2023</t>
  </si>
  <si>
    <t>RZP 03 2023</t>
  </si>
  <si>
    <t>RZP 04 2023</t>
  </si>
  <si>
    <t>RZP 05 2023</t>
  </si>
  <si>
    <t>RZP 06 2023</t>
  </si>
  <si>
    <t>RZP 07 2023</t>
  </si>
  <si>
    <t>RZP 08 2023</t>
  </si>
  <si>
    <t>RZP 09 2023</t>
  </si>
  <si>
    <t>RZP 12 2023</t>
  </si>
  <si>
    <t>RZP 13 2023</t>
  </si>
  <si>
    <t>RZP 14 2023</t>
  </si>
  <si>
    <t>RZP 16 2023</t>
  </si>
  <si>
    <t>RZP 18 2023</t>
  </si>
  <si>
    <t>RZP 20 2023</t>
  </si>
  <si>
    <t>AFIA 001 2023</t>
  </si>
  <si>
    <t>AFIA 003 2023</t>
  </si>
  <si>
    <t>AFIA 004 2023</t>
  </si>
  <si>
    <t>AFIA 005 2023</t>
  </si>
  <si>
    <t>AFIA 007 2023</t>
  </si>
  <si>
    <t>AFIA 011 2023</t>
  </si>
  <si>
    <t>AFIA 013 2023</t>
  </si>
  <si>
    <t>AFIA 017 2023</t>
  </si>
  <si>
    <t>AFIA 018 2023</t>
  </si>
  <si>
    <t>AFIA 022 2023</t>
  </si>
  <si>
    <t>AFIA 023 2023</t>
  </si>
  <si>
    <t>AFIA 025 2023</t>
  </si>
  <si>
    <t>AFIA 038 2023</t>
  </si>
  <si>
    <t>AFIA 046 2023</t>
  </si>
  <si>
    <t>AFIA 050 2023</t>
  </si>
  <si>
    <t>AFIA 0017 2024</t>
  </si>
  <si>
    <t>AFIA 0019 2024</t>
  </si>
  <si>
    <t>AFIA 0022 2024</t>
  </si>
  <si>
    <t>AFIA 030 2024</t>
  </si>
  <si>
    <t>AFIA 032 2024</t>
  </si>
  <si>
    <t>AFIA 033 2024</t>
  </si>
  <si>
    <t>AFIA 039 2024</t>
  </si>
  <si>
    <t>AFIA 040 2024</t>
  </si>
  <si>
    <t>AFIA 049 2024</t>
  </si>
  <si>
    <t>AFIA 059 2024</t>
  </si>
  <si>
    <t>AFIA 062 2024</t>
  </si>
  <si>
    <t>AFIA 070 2024</t>
  </si>
  <si>
    <t>AFIA 075 2024</t>
  </si>
  <si>
    <t>AFIA 076 2024</t>
  </si>
  <si>
    <t>AFIA 078 2024</t>
  </si>
  <si>
    <t>AFIA 084 2024</t>
  </si>
  <si>
    <t>AFIA 086 2024</t>
  </si>
  <si>
    <t>AFIA 089 2024</t>
  </si>
  <si>
    <t>AFIA 91 2024</t>
  </si>
  <si>
    <t>AFIA 103 2024</t>
  </si>
  <si>
    <t>*Canones</t>
  </si>
  <si>
    <t>MEDAF 001 2025</t>
  </si>
  <si>
    <t>MEDAF 003 2025</t>
  </si>
  <si>
    <t>MEDAF 004 2025</t>
  </si>
  <si>
    <t>MEDAF 005 2025</t>
  </si>
  <si>
    <t>MEDAF 006 2025</t>
  </si>
  <si>
    <t>MEDAF 007 2025</t>
  </si>
  <si>
    <t>MEDAF 009 2025</t>
  </si>
  <si>
    <t>MEDAF 014 2025</t>
  </si>
  <si>
    <t>MEDAF 015 2025</t>
  </si>
  <si>
    <t>MEDAF 017 2025</t>
  </si>
  <si>
    <t>MEDAF 020 2025</t>
  </si>
  <si>
    <t>MEDAF 021 2025</t>
  </si>
  <si>
    <t>MEDAF 023 2025</t>
  </si>
  <si>
    <t>MEDAF 024 2025</t>
  </si>
  <si>
    <t>MAFEC 001 2025</t>
  </si>
  <si>
    <t>MAFEC 002 2025</t>
  </si>
  <si>
    <t>MAFEC 003 2025</t>
  </si>
  <si>
    <t>MAFEC 006 2025</t>
  </si>
  <si>
    <t>MAFEC 007 2025</t>
  </si>
  <si>
    <t>MAFEC 008 2025</t>
  </si>
  <si>
    <t>MAFEC 009 2025</t>
  </si>
  <si>
    <t>MAFEC 010 2025</t>
  </si>
  <si>
    <t>MAFEC 012 2025</t>
  </si>
  <si>
    <t>MAFEC 013 2025</t>
  </si>
  <si>
    <t>MAFEC 019 2025</t>
  </si>
  <si>
    <t>MAFEC 025 2025</t>
  </si>
  <si>
    <t>MAFEC 027 2025</t>
  </si>
  <si>
    <t>Ojo, revisarlo</t>
  </si>
  <si>
    <t>MAFEC 001 2026</t>
  </si>
  <si>
    <t>MAFEC 002 2026</t>
  </si>
  <si>
    <t>MAFEC 003 2026</t>
  </si>
  <si>
    <t>MAFEC 004 2026</t>
  </si>
  <si>
    <t>MAFEC 005 2026</t>
  </si>
  <si>
    <t>MAFEC 006 2026</t>
  </si>
  <si>
    <t>MAFEC 007 2026</t>
  </si>
  <si>
    <t>MAFEC 008 2026</t>
  </si>
  <si>
    <t>MAFEC 009 2026</t>
  </si>
  <si>
    <t>MAFEC 010 2026</t>
  </si>
  <si>
    <t>MAFEC 011 2026</t>
  </si>
  <si>
    <t>MAFEC 012 2026</t>
  </si>
  <si>
    <t>MAFEC 013 2026</t>
  </si>
  <si>
    <t>MAFEC 014 2026</t>
  </si>
  <si>
    <t>MAFEC 015 2026</t>
  </si>
  <si>
    <t>MAFEC 016 2026</t>
  </si>
  <si>
    <t>MAFEC 017 2026</t>
  </si>
  <si>
    <t>MAFEC 018 2026</t>
  </si>
  <si>
    <t>MAFEC 019 2026</t>
  </si>
  <si>
    <t>MAFEC 020 2026</t>
  </si>
  <si>
    <t>MAFEC 021 2026</t>
  </si>
  <si>
    <t>MAFEC 022 2026</t>
  </si>
  <si>
    <t>MAFEC 023 2026</t>
  </si>
  <si>
    <t>MAFEC 024 2026</t>
  </si>
  <si>
    <t>MAFEC 025 2026</t>
  </si>
  <si>
    <t>MAFEC 026 2026</t>
  </si>
  <si>
    <t>MAFEC 027 2026</t>
  </si>
  <si>
    <t>MAFEC 028 2026</t>
  </si>
  <si>
    <t>MAFEC 029 2026</t>
  </si>
  <si>
    <t>MAFEC 030 2026</t>
  </si>
  <si>
    <t>MAFEC 031 2026</t>
  </si>
  <si>
    <t>MAFEC 032 2026</t>
  </si>
  <si>
    <t>MAFEC 033 2026</t>
  </si>
  <si>
    <t>CONCEPTO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</si>
</sst>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38">
    <font>
      <sz val="11"/>
      <name val="Calibri"/>
      <scheme val="minor"/>
    </font>
    <font>
      <sz val="11"/>
      <name val="Arial"/>
    </font>
    <font>
      <b/>
      <sz val="16"/>
      <name val="Arial"/>
    </font>
    <font>
      <sz val="11"/>
      <name val="Noto Sans"/>
    </font>
    <font>
      <sz val="14"/>
      <name val="Arial"/>
    </font>
    <font>
      <sz val="11"/>
      <color rgb="FFD8090F"/>
      <name val="Arial"/>
    </font>
    <font>
      <b/>
      <sz val="16"/>
      <color rgb="FFFF0000"/>
      <name val="Arial"/>
    </font>
    <font>
      <b/>
      <sz val="16"/>
      <color rgb="FFFF0000"/>
      <name val="Noto Sans"/>
    </font>
    <font>
      <sz val="9"/>
      <name val="Arial"/>
    </font>
    <font>
      <sz val="10"/>
      <name val="Arial"/>
    </font>
    <font>
      <b/>
      <sz val="10"/>
      <name val="Arial"/>
    </font>
    <font>
      <b/>
      <sz val="14"/>
      <name val="Arial"/>
    </font>
    <font>
      <sz val="10"/>
      <color rgb="FFD8090F"/>
      <name val="Arial"/>
    </font>
    <font>
      <b/>
      <sz val="11"/>
      <color rgb="FFFF0000"/>
      <name val="Arial"/>
    </font>
    <font>
      <b/>
      <sz val="9"/>
      <color rgb="FFFF0000"/>
      <name val="Arial"/>
    </font>
    <font>
      <b/>
      <sz val="10"/>
      <color rgb="FFFF0000"/>
      <name val="Arial"/>
    </font>
    <font>
      <b/>
      <sz val="8"/>
      <color rgb="FFFF0000"/>
      <name val="Arial"/>
    </font>
    <font>
      <b/>
      <sz val="14"/>
      <color rgb="FFFF0000"/>
      <name val="Arial"/>
    </font>
    <font>
      <b/>
      <sz val="11"/>
      <color rgb="FFD8090F"/>
      <name val="Arial"/>
    </font>
    <font>
      <b/>
      <sz val="11"/>
      <color rgb="FF0B27FD"/>
      <name val="Arial"/>
    </font>
    <font>
      <b/>
      <sz val="9"/>
      <color rgb="FF0B27FD"/>
      <name val="Arial"/>
    </font>
    <font>
      <b/>
      <sz val="10"/>
      <color rgb="FF0B27FD"/>
      <name val="Arial"/>
    </font>
    <font>
      <b/>
      <sz val="14"/>
      <color rgb="FF0B27FD"/>
      <name val="Arial"/>
    </font>
    <font>
      <b/>
      <sz val="14"/>
      <color rgb="FFD8090F"/>
      <name val="Arial"/>
    </font>
    <font>
      <b/>
      <sz val="10"/>
      <name val="Arial"/>
    </font>
    <font>
      <b/>
      <sz val="16"/>
      <name val="Arial"/>
    </font>
    <font>
      <b/>
      <sz val="9"/>
      <name val="Arial"/>
    </font>
    <font>
      <b/>
      <sz val="8"/>
      <color rgb="FF8003C0"/>
      <name val="Noto Sans"/>
    </font>
    <font>
      <b/>
      <sz val="14"/>
      <color rgb="FFE70FEF"/>
      <name val="Arial"/>
    </font>
    <font>
      <b/>
      <sz val="11"/>
      <color rgb="FFE70FEF"/>
      <name val="Arial"/>
    </font>
    <font>
      <b/>
      <sz val="9"/>
      <color rgb="FFE70FEF"/>
      <name val="Arial"/>
    </font>
    <font>
      <b/>
      <sz val="14"/>
      <name val="Arial"/>
    </font>
    <font>
      <b/>
      <sz val="11"/>
      <name val="Arial"/>
    </font>
    <font>
      <b/>
      <sz val="11"/>
      <color rgb="FFFF0000"/>
      <name val="Noto Sans"/>
    </font>
    <font>
      <b/>
      <sz val="9"/>
      <name val="Arial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B27FD"/>
        <bgColor rgb="FF0B27FD"/>
      </patternFill>
    </fill>
    <fill>
      <patternFill patternType="solid">
        <fgColor rgb="FFD8D8D8"/>
        <bgColor rgb="FFD8D8D8"/>
      </patternFill>
    </fill>
    <fill>
      <patternFill patternType="solid">
        <fgColor rgb="FFE70FEF"/>
        <bgColor rgb="FFE70FEF"/>
      </patternFill>
    </fill>
    <fill>
      <patternFill patternType="solid">
        <fgColor rgb="FFE523F1"/>
        <bgColor rgb="FFE523F1"/>
      </patternFill>
    </fill>
    <fill>
      <patternFill patternType="solid">
        <fgColor rgb="FFFFC000"/>
        <bgColor rgb="FFFFC000"/>
      </patternFill>
    </fill>
    <fill>
      <patternFill patternType="solid">
        <fgColor rgb="FF08F6F4"/>
        <bgColor rgb="FF08F6F4"/>
      </patternFill>
    </fill>
    <fill>
      <patternFill patternType="solid">
        <fgColor rgb="FF6D09DD"/>
        <bgColor rgb="FF6D09DD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2" borderId="1" xfId="0" applyFont="1" applyFill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1" xfId="0" applyFont="1" applyBorder="1" applyAlignment="1">
      <alignment horizontal="right" vertical="center"/>
    </xf>
    <xf numFmtId="3" fontId="15" fillId="0" borderId="1" xfId="0" applyNumberFormat="1" applyFont="1" applyBorder="1" applyAlignment="1">
      <alignment horizontal="center" vertical="center"/>
    </xf>
    <xf numFmtId="3" fontId="16" fillId="0" borderId="1" xfId="0" applyNumberFormat="1" applyFont="1" applyBorder="1" applyAlignment="1">
      <alignment horizontal="center" vertical="center"/>
    </xf>
    <xf numFmtId="3" fontId="17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14" fillId="3" borderId="1" xfId="0" applyFont="1" applyFill="1" applyBorder="1" applyAlignment="1">
      <alignment horizontal="right" vertical="center"/>
    </xf>
    <xf numFmtId="3" fontId="15" fillId="3" borderId="1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20" fillId="3" borderId="1" xfId="0" applyFont="1" applyFill="1" applyBorder="1" applyAlignment="1">
      <alignment horizontal="right" vertical="center"/>
    </xf>
    <xf numFmtId="3" fontId="21" fillId="3" borderId="1" xfId="0" applyNumberFormat="1" applyFont="1" applyFill="1" applyBorder="1" applyAlignment="1">
      <alignment horizontal="center" vertical="center"/>
    </xf>
    <xf numFmtId="3" fontId="22" fillId="0" borderId="0" xfId="0" applyNumberFormat="1" applyFont="1" applyAlignment="1">
      <alignment vertical="center"/>
    </xf>
    <xf numFmtId="0" fontId="20" fillId="0" borderId="1" xfId="0" applyFont="1" applyBorder="1" applyAlignment="1">
      <alignment horizontal="right" vertical="center"/>
    </xf>
    <xf numFmtId="3" fontId="21" fillId="0" borderId="1" xfId="0" applyNumberFormat="1" applyFont="1" applyBorder="1" applyAlignment="1">
      <alignment horizontal="center" vertical="center"/>
    </xf>
    <xf numFmtId="164" fontId="23" fillId="0" borderId="0" xfId="0" applyNumberFormat="1" applyFont="1" applyAlignment="1">
      <alignment vertical="center"/>
    </xf>
    <xf numFmtId="0" fontId="2" fillId="4" borderId="1" xfId="0" applyFont="1" applyFill="1" applyBorder="1" applyAlignment="1">
      <alignment vertical="center"/>
    </xf>
    <xf numFmtId="0" fontId="24" fillId="5" borderId="1" xfId="0" applyFont="1" applyFill="1" applyBorder="1" applyAlignment="1">
      <alignment horizontal="center" vertical="center" textRotation="90"/>
    </xf>
    <xf numFmtId="3" fontId="17" fillId="3" borderId="2" xfId="0" applyNumberFormat="1" applyFont="1" applyFill="1" applyBorder="1" applyAlignment="1">
      <alignment vertical="center"/>
    </xf>
    <xf numFmtId="3" fontId="22" fillId="3" borderId="2" xfId="0" applyNumberFormat="1" applyFont="1" applyFill="1" applyBorder="1" applyAlignment="1">
      <alignment vertical="center"/>
    </xf>
    <xf numFmtId="0" fontId="25" fillId="6" borderId="1" xfId="0" applyFont="1" applyFill="1" applyBorder="1" applyAlignment="1">
      <alignment vertical="center"/>
    </xf>
    <xf numFmtId="0" fontId="26" fillId="6" borderId="1" xfId="0" applyFont="1" applyFill="1" applyBorder="1" applyAlignment="1">
      <alignment horizontal="center" vertical="center" textRotation="90"/>
    </xf>
    <xf numFmtId="0" fontId="25" fillId="7" borderId="1" xfId="0" applyFont="1" applyFill="1" applyBorder="1" applyAlignment="1">
      <alignment vertical="center"/>
    </xf>
    <xf numFmtId="0" fontId="27" fillId="0" borderId="0" xfId="0" applyFont="1" applyAlignment="1">
      <alignment horizontal="center" vertical="center" textRotation="90"/>
    </xf>
    <xf numFmtId="0" fontId="24" fillId="7" borderId="1" xfId="0" applyFont="1" applyFill="1" applyBorder="1" applyAlignment="1">
      <alignment horizontal="center" vertical="center" textRotation="90"/>
    </xf>
    <xf numFmtId="164" fontId="22" fillId="0" borderId="0" xfId="0" applyNumberFormat="1" applyFont="1" applyAlignment="1">
      <alignment vertical="center"/>
    </xf>
    <xf numFmtId="0" fontId="20" fillId="0" borderId="1" xfId="0" applyFont="1" applyBorder="1" applyAlignment="1">
      <alignment horizontal="left" vertical="center"/>
    </xf>
    <xf numFmtId="3" fontId="28" fillId="0" borderId="0" xfId="0" applyNumberFormat="1" applyFont="1" applyAlignment="1">
      <alignment vertical="center"/>
    </xf>
    <xf numFmtId="164" fontId="28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1" xfId="0" applyFont="1" applyBorder="1" applyAlignment="1">
      <alignment horizontal="left" vertical="center"/>
    </xf>
    <xf numFmtId="3" fontId="31" fillId="0" borderId="0" xfId="0" applyNumberFormat="1" applyFont="1" applyAlignment="1">
      <alignment vertical="center"/>
    </xf>
    <xf numFmtId="164" fontId="31" fillId="0" borderId="0" xfId="0" applyNumberFormat="1" applyFont="1" applyAlignment="1">
      <alignment vertical="center"/>
    </xf>
    <xf numFmtId="0" fontId="32" fillId="0" borderId="0" xfId="0" applyFont="1" applyAlignment="1">
      <alignment vertical="center"/>
    </xf>
    <xf numFmtId="0" fontId="26" fillId="0" borderId="1" xfId="0" applyFont="1" applyBorder="1" applyAlignment="1">
      <alignment horizontal="left" vertical="center"/>
    </xf>
    <xf numFmtId="0" fontId="2" fillId="8" borderId="1" xfId="0" applyFont="1" applyFill="1" applyBorder="1" applyAlignment="1">
      <alignment vertical="center"/>
    </xf>
    <xf numFmtId="0" fontId="33" fillId="0" borderId="0" xfId="0" applyFont="1" applyAlignment="1">
      <alignment horizontal="center" vertical="center" textRotation="90"/>
    </xf>
    <xf numFmtId="0" fontId="34" fillId="8" borderId="1" xfId="0" applyFont="1" applyFill="1" applyBorder="1" applyAlignment="1">
      <alignment horizontal="center" vertical="center" textRotation="90"/>
    </xf>
    <xf numFmtId="0" fontId="6" fillId="0" borderId="0" xfId="0" applyFont="1" applyAlignment="1">
      <alignment horizontal="center" vertical="center"/>
    </xf>
    <xf numFmtId="3" fontId="15" fillId="0" borderId="4" xfId="0" applyNumberFormat="1" applyFont="1" applyBorder="1" applyAlignment="1">
      <alignment horizontal="center" vertical="center"/>
    </xf>
    <xf numFmtId="3" fontId="21" fillId="0" borderId="4" xfId="0" applyNumberFormat="1" applyFont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33" fillId="0" borderId="0" xfId="0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3" fontId="15" fillId="0" borderId="3" xfId="0" applyNumberFormat="1" applyFont="1" applyBorder="1" applyAlignment="1">
      <alignment horizontal="center" vertical="center"/>
    </xf>
    <xf numFmtId="3" fontId="16" fillId="0" borderId="3" xfId="0" applyNumberFormat="1" applyFont="1" applyBorder="1" applyAlignment="1">
      <alignment horizontal="center" vertical="center"/>
    </xf>
    <xf numFmtId="3" fontId="15" fillId="0" borderId="6" xfId="0" applyNumberFormat="1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0" fontId="35" fillId="0" borderId="8" xfId="0" applyFont="1" applyBorder="1" applyAlignment="1">
      <alignment horizontal="center" vertical="center"/>
    </xf>
    <xf numFmtId="0" fontId="35" fillId="0" borderId="9" xfId="0" applyFont="1" applyBorder="1" applyAlignment="1">
      <alignment horizontal="center" vertical="center"/>
    </xf>
    <xf numFmtId="3" fontId="15" fillId="0" borderId="10" xfId="0" applyNumberFormat="1" applyFont="1" applyBorder="1" applyAlignment="1">
      <alignment horizontal="center" vertical="center"/>
    </xf>
    <xf numFmtId="3" fontId="15" fillId="0" borderId="11" xfId="0" applyNumberFormat="1" applyFont="1" applyBorder="1" applyAlignment="1">
      <alignment horizontal="center" vertical="center"/>
    </xf>
    <xf numFmtId="3" fontId="15" fillId="0" borderId="12" xfId="0" applyNumberFormat="1" applyFont="1" applyBorder="1" applyAlignment="1">
      <alignment horizontal="center" vertical="center"/>
    </xf>
    <xf numFmtId="3" fontId="15" fillId="0" borderId="13" xfId="0" applyNumberFormat="1" applyFont="1" applyBorder="1" applyAlignment="1">
      <alignment horizontal="center" vertical="center"/>
    </xf>
    <xf numFmtId="3" fontId="21" fillId="0" borderId="12" xfId="0" applyNumberFormat="1" applyFont="1" applyBorder="1" applyAlignment="1">
      <alignment horizontal="center" vertical="center"/>
    </xf>
    <xf numFmtId="3" fontId="21" fillId="0" borderId="13" xfId="0" applyNumberFormat="1" applyFont="1" applyBorder="1" applyAlignment="1">
      <alignment horizontal="center" vertical="center"/>
    </xf>
    <xf numFmtId="3" fontId="21" fillId="0" borderId="14" xfId="0" applyNumberFormat="1" applyFont="1" applyBorder="1" applyAlignment="1">
      <alignment horizontal="center" vertical="center"/>
    </xf>
    <xf numFmtId="3" fontId="21" fillId="0" borderId="15" xfId="0" applyNumberFormat="1" applyFont="1" applyBorder="1" applyAlignment="1">
      <alignment horizontal="center" vertical="center"/>
    </xf>
    <xf numFmtId="3" fontId="21" fillId="0" borderId="16" xfId="0" applyNumberFormat="1" applyFont="1" applyBorder="1" applyAlignment="1">
      <alignment horizontal="center" vertical="center"/>
    </xf>
    <xf numFmtId="3" fontId="21" fillId="0" borderId="17" xfId="0" applyNumberFormat="1" applyFont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0" fontId="14" fillId="0" borderId="18" xfId="0" applyFont="1" applyBorder="1" applyAlignment="1">
      <alignment horizontal="right" vertical="center"/>
    </xf>
    <xf numFmtId="0" fontId="14" fillId="0" borderId="19" xfId="0" applyFont="1" applyBorder="1" applyAlignment="1">
      <alignment horizontal="right" vertical="center"/>
    </xf>
    <xf numFmtId="0" fontId="20" fillId="0" borderId="19" xfId="0" applyFont="1" applyBorder="1" applyAlignment="1">
      <alignment horizontal="right" vertical="center"/>
    </xf>
    <xf numFmtId="0" fontId="20" fillId="0" borderId="20" xfId="0" applyFont="1" applyBorder="1" applyAlignment="1">
      <alignment horizontal="right" vertical="center"/>
    </xf>
  </cellXfs>
  <cellStyles count="1">
    <cellStyle name="Normal" xfId="0" builtinId="0"/>
  </cellStyles>
  <dxfs count="9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27FD"/>
  </sheetPr>
  <dimension ref="A1:X10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P8" sqref="P8"/>
    </sheetView>
  </sheetViews>
  <sheetFormatPr baseColWidth="10" defaultColWidth="11.140625" defaultRowHeight="15" customHeight="1"/>
  <cols>
    <col min="1" max="1" width="3.28515625" customWidth="1"/>
    <col min="2" max="2" width="24.140625" customWidth="1"/>
    <col min="3" max="3" width="12.85546875" bestFit="1" customWidth="1"/>
    <col min="4" max="8" width="3.7109375" customWidth="1"/>
    <col min="9" max="9" width="12.85546875" bestFit="1" customWidth="1"/>
    <col min="10" max="13" width="3.7109375" customWidth="1"/>
    <col min="14" max="14" width="12.85546875" bestFit="1" customWidth="1"/>
    <col min="15" max="21" width="3.7109375" customWidth="1"/>
    <col min="22" max="22" width="13.7109375" customWidth="1"/>
    <col min="23" max="23" width="9" bestFit="1" customWidth="1"/>
    <col min="24" max="24" width="7.140625" customWidth="1"/>
  </cols>
  <sheetData>
    <row r="1" spans="1:24" ht="18" customHeight="1">
      <c r="A1" s="1"/>
      <c r="B1" s="2">
        <v>2022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5"/>
      <c r="X1" s="1"/>
    </row>
    <row r="2" spans="1:24" ht="18" customHeight="1">
      <c r="A2" s="1"/>
      <c r="B2" s="6" t="s">
        <v>0</v>
      </c>
      <c r="C2" s="7">
        <f>COUNT(C5:U5)</f>
        <v>19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/>
      <c r="W2" s="5"/>
      <c r="X2" s="1"/>
    </row>
    <row r="3" spans="1:24" ht="18" customHeight="1">
      <c r="A3" s="1"/>
      <c r="B3" s="8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4"/>
      <c r="W3" s="5"/>
      <c r="X3" s="1"/>
    </row>
    <row r="4" spans="1:24" ht="18" customHeight="1">
      <c r="A4" s="9"/>
      <c r="B4" s="8"/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10" t="s">
        <v>8</v>
      </c>
      <c r="K4" s="10" t="s">
        <v>9</v>
      </c>
      <c r="L4" s="10" t="s">
        <v>10</v>
      </c>
      <c r="M4" s="10" t="s">
        <v>11</v>
      </c>
      <c r="N4" s="10" t="s">
        <v>12</v>
      </c>
      <c r="O4" s="10" t="s">
        <v>13</v>
      </c>
      <c r="P4" s="10" t="s">
        <v>14</v>
      </c>
      <c r="Q4" s="10" t="s">
        <v>15</v>
      </c>
      <c r="R4" s="10" t="s">
        <v>16</v>
      </c>
      <c r="S4" s="10" t="s">
        <v>17</v>
      </c>
      <c r="T4" s="10" t="s">
        <v>18</v>
      </c>
      <c r="U4" s="10" t="s">
        <v>19</v>
      </c>
      <c r="V4" s="11" t="s">
        <v>20</v>
      </c>
      <c r="W4" s="12"/>
      <c r="X4" s="9"/>
    </row>
    <row r="5" spans="1:24" ht="18" customHeight="1">
      <c r="A5" s="13"/>
      <c r="B5" s="14" t="s">
        <v>21</v>
      </c>
      <c r="C5" s="15">
        <v>2229</v>
      </c>
      <c r="D5" s="15">
        <v>152</v>
      </c>
      <c r="E5" s="15">
        <v>16</v>
      </c>
      <c r="F5" s="15">
        <v>45</v>
      </c>
      <c r="G5" s="15">
        <v>2</v>
      </c>
      <c r="H5" s="15">
        <v>11</v>
      </c>
      <c r="I5" s="15">
        <v>4216</v>
      </c>
      <c r="J5" s="15">
        <v>382</v>
      </c>
      <c r="K5" s="15">
        <v>7</v>
      </c>
      <c r="L5" s="15">
        <v>895</v>
      </c>
      <c r="M5" s="15">
        <v>14</v>
      </c>
      <c r="N5" s="16">
        <v>1248376</v>
      </c>
      <c r="O5" s="15">
        <v>86</v>
      </c>
      <c r="P5" s="15">
        <v>46</v>
      </c>
      <c r="Q5" s="15">
        <v>12</v>
      </c>
      <c r="R5" s="15">
        <v>23</v>
      </c>
      <c r="S5" s="15">
        <v>28</v>
      </c>
      <c r="T5" s="15">
        <v>19</v>
      </c>
      <c r="U5" s="15">
        <v>28</v>
      </c>
      <c r="V5" s="17">
        <f t="shared" ref="V5:V18" si="0">SUM(C5:U5)</f>
        <v>1256587</v>
      </c>
      <c r="W5" s="18"/>
      <c r="X5" s="13"/>
    </row>
    <row r="6" spans="1:24" ht="18" customHeight="1">
      <c r="A6" s="13"/>
      <c r="B6" s="14" t="s">
        <v>22</v>
      </c>
      <c r="C6" s="15">
        <v>1881</v>
      </c>
      <c r="D6" s="15">
        <v>45</v>
      </c>
      <c r="E6" s="15">
        <v>0</v>
      </c>
      <c r="F6" s="15">
        <v>0</v>
      </c>
      <c r="G6" s="15">
        <v>0</v>
      </c>
      <c r="H6" s="15">
        <v>1</v>
      </c>
      <c r="I6" s="15">
        <v>3059</v>
      </c>
      <c r="J6" s="15">
        <v>201</v>
      </c>
      <c r="K6" s="15">
        <v>5</v>
      </c>
      <c r="L6" s="15">
        <v>602</v>
      </c>
      <c r="M6" s="15">
        <v>1</v>
      </c>
      <c r="N6" s="15">
        <v>10</v>
      </c>
      <c r="O6" s="15">
        <v>30</v>
      </c>
      <c r="P6" s="15">
        <v>0</v>
      </c>
      <c r="Q6" s="15">
        <v>11</v>
      </c>
      <c r="R6" s="15">
        <v>10</v>
      </c>
      <c r="S6" s="15">
        <v>0</v>
      </c>
      <c r="T6" s="15">
        <v>0</v>
      </c>
      <c r="U6" s="15">
        <v>20</v>
      </c>
      <c r="V6" s="17">
        <f t="shared" si="0"/>
        <v>5876</v>
      </c>
      <c r="W6" s="18"/>
      <c r="X6" s="13"/>
    </row>
    <row r="7" spans="1:24" ht="18" customHeight="1">
      <c r="A7" s="13"/>
      <c r="B7" s="14" t="s">
        <v>23</v>
      </c>
      <c r="C7" s="15">
        <v>136</v>
      </c>
      <c r="D7" s="15">
        <v>0</v>
      </c>
      <c r="E7" s="15">
        <v>2</v>
      </c>
      <c r="F7" s="15">
        <v>27</v>
      </c>
      <c r="G7" s="15">
        <v>1</v>
      </c>
      <c r="H7" s="15">
        <v>3</v>
      </c>
      <c r="I7" s="15">
        <v>323</v>
      </c>
      <c r="J7" s="15">
        <v>181</v>
      </c>
      <c r="K7" s="15">
        <v>0</v>
      </c>
      <c r="L7" s="15">
        <v>13</v>
      </c>
      <c r="M7" s="15">
        <v>6</v>
      </c>
      <c r="N7" s="15">
        <v>3</v>
      </c>
      <c r="O7" s="15">
        <v>0</v>
      </c>
      <c r="P7" s="15">
        <v>40</v>
      </c>
      <c r="Q7" s="15">
        <v>1</v>
      </c>
      <c r="R7" s="15">
        <v>2</v>
      </c>
      <c r="S7" s="15">
        <v>9</v>
      </c>
      <c r="T7" s="15">
        <v>9</v>
      </c>
      <c r="U7" s="15">
        <v>4</v>
      </c>
      <c r="V7" s="17">
        <f t="shared" si="0"/>
        <v>760</v>
      </c>
      <c r="W7" s="18"/>
      <c r="X7" s="13"/>
    </row>
    <row r="8" spans="1:24" ht="18" customHeight="1">
      <c r="A8" s="13"/>
      <c r="B8" s="19" t="s">
        <v>24</v>
      </c>
      <c r="C8" s="20">
        <v>401</v>
      </c>
      <c r="D8" s="20">
        <v>9</v>
      </c>
      <c r="E8" s="20">
        <v>2</v>
      </c>
      <c r="F8" s="20">
        <v>25</v>
      </c>
      <c r="G8" s="20">
        <v>2</v>
      </c>
      <c r="H8" s="20">
        <v>4</v>
      </c>
      <c r="I8" s="20">
        <v>50</v>
      </c>
      <c r="J8" s="20">
        <v>10</v>
      </c>
      <c r="K8" s="20">
        <v>3</v>
      </c>
      <c r="L8" s="20">
        <v>4</v>
      </c>
      <c r="M8" s="20">
        <v>7</v>
      </c>
      <c r="N8" s="20">
        <v>13</v>
      </c>
      <c r="O8" s="20">
        <v>29</v>
      </c>
      <c r="P8" s="20">
        <v>34</v>
      </c>
      <c r="Q8" s="20">
        <v>8</v>
      </c>
      <c r="R8" s="20">
        <v>8</v>
      </c>
      <c r="S8" s="20">
        <v>8</v>
      </c>
      <c r="T8" s="20">
        <v>6</v>
      </c>
      <c r="U8" s="20">
        <v>4</v>
      </c>
      <c r="V8" s="17">
        <f t="shared" si="0"/>
        <v>627</v>
      </c>
      <c r="W8" s="18"/>
      <c r="X8" s="13"/>
    </row>
    <row r="9" spans="1:24" ht="18" customHeight="1">
      <c r="A9" s="21"/>
      <c r="B9" s="22" t="s">
        <v>25</v>
      </c>
      <c r="C9" s="23">
        <v>401</v>
      </c>
      <c r="D9" s="23">
        <v>9</v>
      </c>
      <c r="E9" s="23">
        <v>2</v>
      </c>
      <c r="F9" s="23">
        <v>25</v>
      </c>
      <c r="G9" s="23">
        <v>2</v>
      </c>
      <c r="H9" s="23">
        <v>4</v>
      </c>
      <c r="I9" s="23">
        <v>50</v>
      </c>
      <c r="J9" s="23">
        <v>10</v>
      </c>
      <c r="K9" s="23">
        <v>3</v>
      </c>
      <c r="L9" s="23">
        <v>4</v>
      </c>
      <c r="M9" s="23">
        <v>7</v>
      </c>
      <c r="N9" s="23">
        <v>13</v>
      </c>
      <c r="O9" s="23">
        <v>29</v>
      </c>
      <c r="P9" s="23">
        <v>34</v>
      </c>
      <c r="Q9" s="23">
        <v>8</v>
      </c>
      <c r="R9" s="23">
        <v>8</v>
      </c>
      <c r="S9" s="23">
        <v>8</v>
      </c>
      <c r="T9" s="23">
        <v>6</v>
      </c>
      <c r="U9" s="23">
        <v>4</v>
      </c>
      <c r="V9" s="24">
        <f t="shared" si="0"/>
        <v>627</v>
      </c>
      <c r="W9" s="18"/>
      <c r="X9" s="21"/>
    </row>
    <row r="10" spans="1:24" ht="18" customHeight="1">
      <c r="A10" s="21"/>
      <c r="B10" s="25" t="s">
        <v>26</v>
      </c>
      <c r="C10" s="26">
        <v>427</v>
      </c>
      <c r="D10" s="26">
        <v>9</v>
      </c>
      <c r="E10" s="26">
        <v>4</v>
      </c>
      <c r="F10" s="26">
        <v>38</v>
      </c>
      <c r="G10" s="26">
        <v>4</v>
      </c>
      <c r="H10" s="26">
        <v>4</v>
      </c>
      <c r="I10" s="26">
        <v>73</v>
      </c>
      <c r="J10" s="26">
        <v>17</v>
      </c>
      <c r="K10" s="26">
        <v>4</v>
      </c>
      <c r="L10" s="26">
        <v>7</v>
      </c>
      <c r="M10" s="26">
        <v>14</v>
      </c>
      <c r="N10" s="26">
        <v>13</v>
      </c>
      <c r="O10" s="26">
        <v>32</v>
      </c>
      <c r="P10" s="26">
        <v>58</v>
      </c>
      <c r="Q10" s="26">
        <v>8</v>
      </c>
      <c r="R10" s="26">
        <v>10</v>
      </c>
      <c r="S10" s="26">
        <v>10</v>
      </c>
      <c r="T10" s="26">
        <v>10</v>
      </c>
      <c r="U10" s="26">
        <v>4</v>
      </c>
      <c r="V10" s="24">
        <f t="shared" si="0"/>
        <v>746</v>
      </c>
      <c r="W10" s="18"/>
      <c r="X10" s="21"/>
    </row>
    <row r="11" spans="1:24" ht="18" customHeight="1">
      <c r="A11" s="21"/>
      <c r="B11" s="25" t="s">
        <v>27</v>
      </c>
      <c r="C11" s="26">
        <v>406</v>
      </c>
      <c r="D11" s="26">
        <v>0</v>
      </c>
      <c r="E11" s="26">
        <v>1</v>
      </c>
      <c r="F11" s="26">
        <v>31</v>
      </c>
      <c r="G11" s="26">
        <v>4</v>
      </c>
      <c r="H11" s="26">
        <v>0</v>
      </c>
      <c r="I11" s="26">
        <v>60</v>
      </c>
      <c r="J11" s="26">
        <v>10</v>
      </c>
      <c r="K11" s="26">
        <v>1</v>
      </c>
      <c r="L11" s="26">
        <v>2</v>
      </c>
      <c r="M11" s="26">
        <v>4</v>
      </c>
      <c r="N11" s="26">
        <v>13</v>
      </c>
      <c r="O11" s="26">
        <v>0</v>
      </c>
      <c r="P11" s="26">
        <v>20</v>
      </c>
      <c r="Q11" s="26">
        <v>0</v>
      </c>
      <c r="R11" s="26">
        <v>8</v>
      </c>
      <c r="S11" s="26">
        <v>1</v>
      </c>
      <c r="T11" s="26">
        <v>1</v>
      </c>
      <c r="U11" s="26">
        <v>0</v>
      </c>
      <c r="V11" s="24">
        <f t="shared" si="0"/>
        <v>562</v>
      </c>
      <c r="W11" s="27">
        <f>PRODUCT(V11,100)/V10</f>
        <v>75.335120643431637</v>
      </c>
      <c r="X11" s="18" t="s">
        <v>28</v>
      </c>
    </row>
    <row r="12" spans="1:24" ht="18" customHeight="1">
      <c r="A12" s="21"/>
      <c r="B12" s="25" t="s">
        <v>29</v>
      </c>
      <c r="C12" s="26">
        <v>3</v>
      </c>
      <c r="D12" s="26">
        <v>9</v>
      </c>
      <c r="E12" s="26">
        <v>1</v>
      </c>
      <c r="F12" s="26">
        <v>4</v>
      </c>
      <c r="G12" s="26">
        <v>0</v>
      </c>
      <c r="H12" s="26">
        <v>4</v>
      </c>
      <c r="I12" s="26">
        <v>0</v>
      </c>
      <c r="J12" s="26">
        <v>0</v>
      </c>
      <c r="K12" s="26">
        <v>3</v>
      </c>
      <c r="L12" s="26">
        <v>3</v>
      </c>
      <c r="M12" s="26">
        <v>5</v>
      </c>
      <c r="N12" s="26">
        <v>0</v>
      </c>
      <c r="O12" s="26">
        <v>12</v>
      </c>
      <c r="P12" s="26">
        <v>27</v>
      </c>
      <c r="Q12" s="26">
        <v>3</v>
      </c>
      <c r="R12" s="26">
        <v>0</v>
      </c>
      <c r="S12" s="26">
        <v>6</v>
      </c>
      <c r="T12" s="26">
        <v>5</v>
      </c>
      <c r="U12" s="26">
        <v>4</v>
      </c>
      <c r="V12" s="24">
        <f t="shared" si="0"/>
        <v>89</v>
      </c>
      <c r="W12" s="27">
        <f>PRODUCT(V12,100)/V10</f>
        <v>11.930294906166219</v>
      </c>
      <c r="X12" s="18" t="s">
        <v>28</v>
      </c>
    </row>
    <row r="13" spans="1:24" ht="18" customHeight="1">
      <c r="A13" s="21"/>
      <c r="B13" s="25" t="s">
        <v>30</v>
      </c>
      <c r="C13" s="26">
        <v>18</v>
      </c>
      <c r="D13" s="26">
        <v>0</v>
      </c>
      <c r="E13" s="26">
        <v>2</v>
      </c>
      <c r="F13" s="26">
        <v>3</v>
      </c>
      <c r="G13" s="26">
        <v>0</v>
      </c>
      <c r="H13" s="26">
        <v>0</v>
      </c>
      <c r="I13" s="26">
        <v>13</v>
      </c>
      <c r="J13" s="26">
        <v>7</v>
      </c>
      <c r="K13" s="26">
        <v>0</v>
      </c>
      <c r="L13" s="26">
        <v>2</v>
      </c>
      <c r="M13" s="26">
        <v>5</v>
      </c>
      <c r="N13" s="26">
        <v>0</v>
      </c>
      <c r="O13" s="26">
        <v>20</v>
      </c>
      <c r="P13" s="26">
        <v>11</v>
      </c>
      <c r="Q13" s="26">
        <v>5</v>
      </c>
      <c r="R13" s="26">
        <v>2</v>
      </c>
      <c r="S13" s="26">
        <v>3</v>
      </c>
      <c r="T13" s="26">
        <v>4</v>
      </c>
      <c r="U13" s="26">
        <v>0</v>
      </c>
      <c r="V13" s="24">
        <f t="shared" si="0"/>
        <v>95</v>
      </c>
      <c r="W13" s="27">
        <f>PRODUCT(V13,100)/V10</f>
        <v>12.734584450402144</v>
      </c>
      <c r="X13" s="18" t="s">
        <v>28</v>
      </c>
    </row>
    <row r="14" spans="1:24" ht="18" customHeight="1">
      <c r="A14" s="21"/>
      <c r="B14" s="25" t="s">
        <v>31</v>
      </c>
      <c r="C14" s="26">
        <v>0</v>
      </c>
      <c r="D14" s="26">
        <v>0</v>
      </c>
      <c r="E14" s="26">
        <v>0</v>
      </c>
      <c r="F14" s="26">
        <v>4</v>
      </c>
      <c r="G14" s="26">
        <v>2</v>
      </c>
      <c r="H14" s="26">
        <v>2</v>
      </c>
      <c r="I14" s="26">
        <v>0</v>
      </c>
      <c r="J14" s="26">
        <v>0</v>
      </c>
      <c r="K14" s="26">
        <v>0</v>
      </c>
      <c r="L14" s="26">
        <v>0</v>
      </c>
      <c r="M14" s="26">
        <v>0</v>
      </c>
      <c r="N14" s="26">
        <v>0</v>
      </c>
      <c r="O14" s="26">
        <v>1</v>
      </c>
      <c r="P14" s="26">
        <v>19</v>
      </c>
      <c r="Q14" s="26">
        <v>0</v>
      </c>
      <c r="R14" s="26">
        <v>0</v>
      </c>
      <c r="S14" s="26">
        <v>1</v>
      </c>
      <c r="T14" s="26">
        <v>1</v>
      </c>
      <c r="U14" s="26">
        <v>2</v>
      </c>
      <c r="V14" s="24">
        <f t="shared" si="0"/>
        <v>32</v>
      </c>
      <c r="W14" s="27">
        <f>PRODUCT(V14,100)/V9</f>
        <v>5.1036682615629987</v>
      </c>
      <c r="X14" s="18" t="s">
        <v>28</v>
      </c>
    </row>
    <row r="15" spans="1:24" ht="18" customHeight="1">
      <c r="A15" s="21"/>
      <c r="B15" s="25" t="s">
        <v>32</v>
      </c>
      <c r="C15" s="26">
        <v>0</v>
      </c>
      <c r="D15" s="26">
        <v>0</v>
      </c>
      <c r="E15" s="26">
        <v>0</v>
      </c>
      <c r="F15" s="26">
        <v>13</v>
      </c>
      <c r="G15" s="26">
        <v>0</v>
      </c>
      <c r="H15" s="26">
        <v>2</v>
      </c>
      <c r="I15" s="26">
        <v>0</v>
      </c>
      <c r="J15" s="26">
        <v>0</v>
      </c>
      <c r="K15" s="26">
        <v>3</v>
      </c>
      <c r="L15" s="26">
        <v>0</v>
      </c>
      <c r="M15" s="26">
        <v>2</v>
      </c>
      <c r="N15" s="26">
        <v>0</v>
      </c>
      <c r="O15" s="26">
        <v>0</v>
      </c>
      <c r="P15" s="26">
        <v>4</v>
      </c>
      <c r="Q15" s="26">
        <v>1</v>
      </c>
      <c r="R15" s="26">
        <v>0</v>
      </c>
      <c r="S15" s="26">
        <v>5</v>
      </c>
      <c r="T15" s="26">
        <v>3</v>
      </c>
      <c r="U15" s="26">
        <v>1</v>
      </c>
      <c r="V15" s="24">
        <f t="shared" si="0"/>
        <v>34</v>
      </c>
      <c r="W15" s="27">
        <f>PRODUCT(V15,100)/V9</f>
        <v>5.4226475279106854</v>
      </c>
      <c r="X15" s="18" t="s">
        <v>28</v>
      </c>
    </row>
    <row r="16" spans="1:24" ht="18" customHeight="1">
      <c r="A16" s="21"/>
      <c r="B16" s="25" t="s">
        <v>33</v>
      </c>
      <c r="C16" s="26">
        <v>3</v>
      </c>
      <c r="D16" s="26">
        <v>1</v>
      </c>
      <c r="E16" s="26">
        <v>0</v>
      </c>
      <c r="F16" s="26">
        <v>10</v>
      </c>
      <c r="G16" s="26">
        <v>0</v>
      </c>
      <c r="H16" s="26">
        <v>0</v>
      </c>
      <c r="I16" s="26">
        <v>2</v>
      </c>
      <c r="J16" s="26">
        <v>0</v>
      </c>
      <c r="K16" s="26">
        <v>0</v>
      </c>
      <c r="L16" s="26">
        <v>0</v>
      </c>
      <c r="M16" s="26">
        <v>1</v>
      </c>
      <c r="N16" s="26">
        <v>0</v>
      </c>
      <c r="O16" s="26">
        <v>0</v>
      </c>
      <c r="P16" s="26">
        <v>1</v>
      </c>
      <c r="Q16" s="26">
        <v>2</v>
      </c>
      <c r="R16" s="26">
        <v>6</v>
      </c>
      <c r="S16" s="26">
        <v>2</v>
      </c>
      <c r="T16" s="26">
        <v>1</v>
      </c>
      <c r="U16" s="26">
        <v>3</v>
      </c>
      <c r="V16" s="24">
        <f t="shared" si="0"/>
        <v>32</v>
      </c>
      <c r="W16" s="27">
        <f>PRODUCT(V16,100)/V9</f>
        <v>5.1036682615629987</v>
      </c>
      <c r="X16" s="18" t="s">
        <v>28</v>
      </c>
    </row>
    <row r="17" spans="1:24" ht="18" customHeight="1">
      <c r="A17" s="21"/>
      <c r="B17" s="25" t="s">
        <v>34</v>
      </c>
      <c r="C17" s="26">
        <v>22</v>
      </c>
      <c r="D17" s="26">
        <v>8</v>
      </c>
      <c r="E17" s="26">
        <v>0</v>
      </c>
      <c r="F17" s="26">
        <v>3</v>
      </c>
      <c r="G17" s="26">
        <v>0</v>
      </c>
      <c r="H17" s="26">
        <v>0</v>
      </c>
      <c r="I17" s="26">
        <v>37</v>
      </c>
      <c r="J17" s="26">
        <v>0</v>
      </c>
      <c r="K17" s="26">
        <v>0</v>
      </c>
      <c r="L17" s="26">
        <v>3</v>
      </c>
      <c r="M17" s="26">
        <v>3</v>
      </c>
      <c r="N17" s="26">
        <v>2</v>
      </c>
      <c r="O17" s="26">
        <v>0</v>
      </c>
      <c r="P17" s="26">
        <v>3</v>
      </c>
      <c r="Q17" s="26">
        <v>0</v>
      </c>
      <c r="R17" s="26">
        <v>0</v>
      </c>
      <c r="S17" s="26">
        <v>0</v>
      </c>
      <c r="T17" s="26">
        <v>0</v>
      </c>
      <c r="U17" s="26">
        <v>0</v>
      </c>
      <c r="V17" s="24">
        <f t="shared" si="0"/>
        <v>81</v>
      </c>
      <c r="W17" s="27">
        <f>PRODUCT(V17,100)/V9</f>
        <v>12.918660287081339</v>
      </c>
      <c r="X17" s="18" t="s">
        <v>28</v>
      </c>
    </row>
    <row r="18" spans="1:24" ht="18" customHeight="1">
      <c r="A18" s="21"/>
      <c r="B18" s="25" t="s">
        <v>35</v>
      </c>
      <c r="C18" s="26">
        <v>384</v>
      </c>
      <c r="D18" s="26">
        <v>0</v>
      </c>
      <c r="E18" s="26">
        <v>2</v>
      </c>
      <c r="F18" s="26">
        <v>5</v>
      </c>
      <c r="G18" s="26">
        <v>2</v>
      </c>
      <c r="H18" s="26">
        <v>0</v>
      </c>
      <c r="I18" s="26">
        <v>22</v>
      </c>
      <c r="J18" s="26">
        <v>10</v>
      </c>
      <c r="K18" s="26">
        <v>1</v>
      </c>
      <c r="L18" s="26">
        <v>2</v>
      </c>
      <c r="M18" s="26">
        <v>3</v>
      </c>
      <c r="N18" s="26">
        <v>11</v>
      </c>
      <c r="O18" s="26">
        <v>0</v>
      </c>
      <c r="P18" s="26">
        <v>18</v>
      </c>
      <c r="Q18" s="26">
        <v>0</v>
      </c>
      <c r="R18" s="26">
        <v>2</v>
      </c>
      <c r="S18" s="26">
        <v>1</v>
      </c>
      <c r="T18" s="26">
        <v>1</v>
      </c>
      <c r="U18" s="26">
        <v>0</v>
      </c>
      <c r="V18" s="24">
        <f t="shared" si="0"/>
        <v>464</v>
      </c>
      <c r="W18" s="27">
        <f>PRODUCT(V18,100)/V9</f>
        <v>74.003189792663477</v>
      </c>
      <c r="X18" s="18" t="s">
        <v>28</v>
      </c>
    </row>
    <row r="19" spans="1:24" ht="18" customHeight="1">
      <c r="A19" s="1"/>
      <c r="B19" s="8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4"/>
      <c r="W19" s="5"/>
      <c r="X19" s="1"/>
    </row>
    <row r="20" spans="1:24" ht="18" customHeight="1">
      <c r="A20" s="1"/>
      <c r="B20" s="8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4"/>
      <c r="W20" s="5"/>
      <c r="X20" s="1"/>
    </row>
    <row r="21" spans="1:24" ht="18" customHeight="1">
      <c r="A21" s="1"/>
      <c r="B21" s="8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4"/>
      <c r="W21" s="5"/>
      <c r="X21" s="1"/>
    </row>
    <row r="22" spans="1:24" ht="18" customHeight="1">
      <c r="A22" s="1"/>
      <c r="B22" s="8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4"/>
      <c r="W22" s="5"/>
      <c r="X22" s="1"/>
    </row>
    <row r="23" spans="1:24" ht="18" customHeight="1">
      <c r="A23" s="1"/>
      <c r="B23" s="8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4"/>
      <c r="W23" s="5"/>
      <c r="X23" s="1"/>
    </row>
    <row r="24" spans="1:24" ht="18" customHeight="1">
      <c r="A24" s="1"/>
      <c r="B24" s="8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4"/>
      <c r="W24" s="5"/>
      <c r="X24" s="1"/>
    </row>
    <row r="25" spans="1:24" ht="18" customHeight="1">
      <c r="A25" s="1"/>
      <c r="B25" s="8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4"/>
      <c r="W25" s="5"/>
      <c r="X25" s="1"/>
    </row>
    <row r="26" spans="1:24" ht="18" customHeight="1">
      <c r="A26" s="1"/>
      <c r="B26" s="8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4"/>
      <c r="W26" s="5"/>
      <c r="X26" s="1"/>
    </row>
    <row r="27" spans="1:24" ht="18" customHeight="1">
      <c r="A27" s="1"/>
      <c r="B27" s="8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4"/>
      <c r="W27" s="5"/>
      <c r="X27" s="1"/>
    </row>
    <row r="28" spans="1:24" ht="18" customHeight="1">
      <c r="A28" s="1"/>
      <c r="B28" s="8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4"/>
      <c r="W28" s="5"/>
      <c r="X28" s="1"/>
    </row>
    <row r="29" spans="1:24" ht="18" customHeight="1">
      <c r="A29" s="1"/>
      <c r="B29" s="8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4"/>
      <c r="W29" s="5"/>
      <c r="X29" s="1"/>
    </row>
    <row r="30" spans="1:24" ht="18" customHeight="1">
      <c r="A30" s="1"/>
      <c r="B30" s="8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4"/>
      <c r="W30" s="5"/>
      <c r="X30" s="1"/>
    </row>
    <row r="31" spans="1:24" ht="18" customHeight="1">
      <c r="A31" s="1"/>
      <c r="B31" s="8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4"/>
      <c r="W31" s="5"/>
      <c r="X31" s="1"/>
    </row>
    <row r="32" spans="1:24" ht="18" customHeight="1">
      <c r="A32" s="1"/>
      <c r="B32" s="8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4"/>
      <c r="W32" s="5"/>
      <c r="X32" s="1"/>
    </row>
    <row r="33" spans="1:24" ht="18" customHeight="1">
      <c r="A33" s="1"/>
      <c r="B33" s="8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4"/>
      <c r="W33" s="5"/>
      <c r="X33" s="1"/>
    </row>
    <row r="34" spans="1:24" ht="18" customHeight="1">
      <c r="A34" s="1"/>
      <c r="B34" s="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4"/>
      <c r="W34" s="5"/>
      <c r="X34" s="1"/>
    </row>
    <row r="35" spans="1:24" ht="18" customHeight="1">
      <c r="A35" s="1"/>
      <c r="B35" s="8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4"/>
      <c r="W35" s="5"/>
      <c r="X35" s="1"/>
    </row>
    <row r="36" spans="1:24" ht="18" customHeight="1">
      <c r="A36" s="1"/>
      <c r="B36" s="8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4"/>
      <c r="W36" s="5"/>
      <c r="X36" s="1"/>
    </row>
    <row r="37" spans="1:24" ht="18" customHeight="1">
      <c r="A37" s="1"/>
      <c r="B37" s="8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4"/>
      <c r="W37" s="5"/>
      <c r="X37" s="1"/>
    </row>
    <row r="38" spans="1:24" ht="18" customHeight="1">
      <c r="A38" s="1"/>
      <c r="B38" s="8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4"/>
      <c r="W38" s="5"/>
      <c r="X38" s="1"/>
    </row>
    <row r="39" spans="1:24" ht="18" customHeight="1">
      <c r="A39" s="1"/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4"/>
      <c r="W39" s="5"/>
      <c r="X39" s="1"/>
    </row>
    <row r="40" spans="1:24" ht="18" customHeight="1">
      <c r="A40" s="1"/>
      <c r="B40" s="8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4"/>
      <c r="W40" s="5"/>
      <c r="X40" s="1"/>
    </row>
    <row r="41" spans="1:24" ht="18" customHeight="1">
      <c r="A41" s="1"/>
      <c r="B41" s="8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4"/>
      <c r="W41" s="5"/>
      <c r="X41" s="1"/>
    </row>
    <row r="42" spans="1:24" ht="18" customHeight="1">
      <c r="A42" s="1"/>
      <c r="B42" s="8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4"/>
      <c r="W42" s="5"/>
      <c r="X42" s="1"/>
    </row>
    <row r="43" spans="1:24" ht="18" customHeight="1">
      <c r="A43" s="1"/>
      <c r="B43" s="8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4"/>
      <c r="W43" s="5"/>
      <c r="X43" s="1"/>
    </row>
    <row r="44" spans="1:24" ht="18" customHeight="1">
      <c r="A44" s="1"/>
      <c r="B44" s="8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4"/>
      <c r="W44" s="5"/>
      <c r="X44" s="1"/>
    </row>
    <row r="45" spans="1:24" ht="18" customHeight="1">
      <c r="A45" s="1"/>
      <c r="B45" s="8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4"/>
      <c r="W45" s="5"/>
      <c r="X45" s="1"/>
    </row>
    <row r="46" spans="1:24" ht="18" customHeight="1">
      <c r="A46" s="1"/>
      <c r="B46" s="8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4"/>
      <c r="W46" s="5"/>
      <c r="X46" s="1"/>
    </row>
    <row r="47" spans="1:24" ht="18" customHeight="1">
      <c r="A47" s="1"/>
      <c r="B47" s="8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4"/>
      <c r="W47" s="5"/>
      <c r="X47" s="1"/>
    </row>
    <row r="48" spans="1:24" ht="18" customHeight="1">
      <c r="A48" s="1"/>
      <c r="B48" s="8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4"/>
      <c r="W48" s="5"/>
      <c r="X48" s="1"/>
    </row>
    <row r="49" spans="1:24" ht="18" customHeight="1">
      <c r="A49" s="1"/>
      <c r="B49" s="8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4"/>
      <c r="W49" s="5"/>
      <c r="X49" s="1"/>
    </row>
    <row r="50" spans="1:24" ht="18" customHeight="1">
      <c r="A50" s="1"/>
      <c r="B50" s="8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4"/>
      <c r="W50" s="5"/>
      <c r="X50" s="1"/>
    </row>
    <row r="51" spans="1:24" ht="18" customHeight="1">
      <c r="A51" s="1"/>
      <c r="B51" s="8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4"/>
      <c r="W51" s="5"/>
      <c r="X51" s="1"/>
    </row>
    <row r="52" spans="1:24" ht="18" customHeight="1">
      <c r="A52" s="1"/>
      <c r="B52" s="8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4"/>
      <c r="W52" s="5"/>
      <c r="X52" s="1"/>
    </row>
    <row r="53" spans="1:24" ht="18" customHeight="1">
      <c r="A53" s="1"/>
      <c r="B53" s="8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4"/>
      <c r="W53" s="5"/>
      <c r="X53" s="1"/>
    </row>
    <row r="54" spans="1:24" ht="18" customHeight="1">
      <c r="A54" s="1"/>
      <c r="B54" s="8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4"/>
      <c r="W54" s="5"/>
      <c r="X54" s="1"/>
    </row>
    <row r="55" spans="1:24" ht="18" customHeight="1">
      <c r="A55" s="1"/>
      <c r="B55" s="8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4"/>
      <c r="W55" s="5"/>
      <c r="X55" s="1"/>
    </row>
    <row r="56" spans="1:24" ht="18" customHeight="1">
      <c r="A56" s="1"/>
      <c r="B56" s="8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4"/>
      <c r="W56" s="5"/>
      <c r="X56" s="1"/>
    </row>
    <row r="57" spans="1:24" ht="18" customHeight="1">
      <c r="A57" s="1"/>
      <c r="B57" s="8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4"/>
      <c r="W57" s="5"/>
      <c r="X57" s="1"/>
    </row>
    <row r="58" spans="1:24" ht="18" customHeight="1">
      <c r="A58" s="1"/>
      <c r="B58" s="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4"/>
      <c r="W58" s="5"/>
      <c r="X58" s="1"/>
    </row>
    <row r="59" spans="1:24" ht="18" customHeight="1">
      <c r="A59" s="1"/>
      <c r="B59" s="8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4"/>
      <c r="W59" s="5"/>
      <c r="X59" s="1"/>
    </row>
    <row r="60" spans="1:24" ht="18" customHeight="1">
      <c r="A60" s="1"/>
      <c r="B60" s="8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4"/>
      <c r="W60" s="5"/>
      <c r="X60" s="1"/>
    </row>
    <row r="61" spans="1:24" ht="18" customHeight="1">
      <c r="A61" s="1"/>
      <c r="B61" s="8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4"/>
      <c r="W61" s="5"/>
      <c r="X61" s="1"/>
    </row>
    <row r="62" spans="1:24" ht="18" customHeight="1">
      <c r="A62" s="1"/>
      <c r="B62" s="8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4"/>
      <c r="W62" s="5"/>
      <c r="X62" s="1"/>
    </row>
    <row r="63" spans="1:24" ht="18" customHeight="1">
      <c r="A63" s="1"/>
      <c r="B63" s="8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4"/>
      <c r="W63" s="5"/>
      <c r="X63" s="1"/>
    </row>
    <row r="64" spans="1:24" ht="18" customHeight="1">
      <c r="A64" s="1"/>
      <c r="B64" s="8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4"/>
      <c r="W64" s="5"/>
      <c r="X64" s="1"/>
    </row>
    <row r="65" spans="1:24" ht="18" customHeight="1">
      <c r="A65" s="1"/>
      <c r="B65" s="8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4"/>
      <c r="W65" s="5"/>
      <c r="X65" s="1"/>
    </row>
    <row r="66" spans="1:24" ht="18" customHeight="1">
      <c r="A66" s="1"/>
      <c r="B66" s="8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4"/>
      <c r="W66" s="5"/>
      <c r="X66" s="1"/>
    </row>
    <row r="67" spans="1:24" ht="18" customHeight="1">
      <c r="A67" s="1"/>
      <c r="B67" s="8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4"/>
      <c r="W67" s="5"/>
      <c r="X67" s="1"/>
    </row>
    <row r="68" spans="1:24" ht="18" customHeight="1">
      <c r="A68" s="1"/>
      <c r="B68" s="8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4"/>
      <c r="W68" s="5"/>
      <c r="X68" s="1"/>
    </row>
    <row r="69" spans="1:24" ht="18" customHeight="1">
      <c r="A69" s="1"/>
      <c r="B69" s="8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4"/>
      <c r="W69" s="5"/>
      <c r="X69" s="1"/>
    </row>
    <row r="70" spans="1:24" ht="18" customHeight="1">
      <c r="A70" s="1"/>
      <c r="B70" s="8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4"/>
      <c r="W70" s="5"/>
      <c r="X70" s="1"/>
    </row>
    <row r="71" spans="1:24" ht="18" customHeight="1">
      <c r="A71" s="1"/>
      <c r="B71" s="8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4"/>
      <c r="W71" s="5"/>
      <c r="X71" s="1"/>
    </row>
    <row r="72" spans="1:24" ht="18" customHeight="1">
      <c r="A72" s="1"/>
      <c r="B72" s="8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4"/>
      <c r="W72" s="5"/>
      <c r="X72" s="1"/>
    </row>
    <row r="73" spans="1:24" ht="18" customHeight="1">
      <c r="A73" s="1"/>
      <c r="B73" s="8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4"/>
      <c r="W73" s="5"/>
      <c r="X73" s="1"/>
    </row>
    <row r="74" spans="1:24" ht="18" customHeight="1">
      <c r="A74" s="1"/>
      <c r="B74" s="8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4"/>
      <c r="W74" s="5"/>
      <c r="X74" s="1"/>
    </row>
    <row r="75" spans="1:24" ht="18" customHeight="1">
      <c r="A75" s="1"/>
      <c r="B75" s="8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4"/>
      <c r="W75" s="5"/>
      <c r="X75" s="1"/>
    </row>
    <row r="76" spans="1:24" ht="18" customHeight="1">
      <c r="A76" s="1"/>
      <c r="B76" s="8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4"/>
      <c r="W76" s="5"/>
      <c r="X76" s="1"/>
    </row>
    <row r="77" spans="1:24" ht="18" customHeight="1">
      <c r="A77" s="1"/>
      <c r="B77" s="8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4"/>
      <c r="W77" s="5"/>
      <c r="X77" s="1"/>
    </row>
    <row r="78" spans="1:24" ht="18" customHeight="1">
      <c r="A78" s="1"/>
      <c r="B78" s="8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4"/>
      <c r="W78" s="5"/>
      <c r="X78" s="1"/>
    </row>
    <row r="79" spans="1:24" ht="18" customHeight="1">
      <c r="A79" s="1"/>
      <c r="B79" s="8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4"/>
      <c r="W79" s="5"/>
      <c r="X79" s="1"/>
    </row>
    <row r="80" spans="1:24" ht="18" customHeight="1">
      <c r="A80" s="1"/>
      <c r="B80" s="8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4"/>
      <c r="W80" s="5"/>
      <c r="X80" s="1"/>
    </row>
    <row r="81" spans="1:24" ht="18" customHeight="1">
      <c r="A81" s="1"/>
      <c r="B81" s="8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4"/>
      <c r="W81" s="5"/>
      <c r="X81" s="1"/>
    </row>
    <row r="82" spans="1:24" ht="18" customHeight="1">
      <c r="A82" s="1"/>
      <c r="B82" s="8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4"/>
      <c r="W82" s="5"/>
      <c r="X82" s="1"/>
    </row>
    <row r="83" spans="1:24" ht="18" customHeight="1">
      <c r="A83" s="1"/>
      <c r="B83" s="8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4"/>
      <c r="W83" s="5"/>
      <c r="X83" s="1"/>
    </row>
    <row r="84" spans="1:24" ht="18" customHeight="1">
      <c r="A84" s="1"/>
      <c r="B84" s="8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4"/>
      <c r="W84" s="5"/>
      <c r="X84" s="1"/>
    </row>
    <row r="85" spans="1:24" ht="18" customHeight="1">
      <c r="A85" s="1"/>
      <c r="B85" s="8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4"/>
      <c r="W85" s="5"/>
      <c r="X85" s="1"/>
    </row>
    <row r="86" spans="1:24" ht="18" customHeight="1">
      <c r="A86" s="1"/>
      <c r="B86" s="8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4"/>
      <c r="W86" s="5"/>
      <c r="X86" s="1"/>
    </row>
    <row r="87" spans="1:24" ht="18" customHeight="1">
      <c r="A87" s="1"/>
      <c r="B87" s="8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4"/>
      <c r="W87" s="5"/>
      <c r="X87" s="1"/>
    </row>
    <row r="88" spans="1:24" ht="18" customHeight="1">
      <c r="A88" s="1"/>
      <c r="B88" s="8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4"/>
      <c r="W88" s="5"/>
      <c r="X88" s="1"/>
    </row>
    <row r="89" spans="1:24" ht="18" customHeight="1">
      <c r="A89" s="1"/>
      <c r="B89" s="8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4"/>
      <c r="W89" s="5"/>
      <c r="X89" s="1"/>
    </row>
    <row r="90" spans="1:24" ht="18" customHeight="1">
      <c r="A90" s="1"/>
      <c r="B90" s="8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4"/>
      <c r="W90" s="5"/>
      <c r="X90" s="1"/>
    </row>
    <row r="91" spans="1:24" ht="18" customHeight="1">
      <c r="A91" s="1"/>
      <c r="B91" s="8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4"/>
      <c r="W91" s="5"/>
      <c r="X91" s="1"/>
    </row>
    <row r="92" spans="1:24" ht="18" customHeight="1">
      <c r="A92" s="1"/>
      <c r="B92" s="8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4"/>
      <c r="W92" s="5"/>
      <c r="X92" s="1"/>
    </row>
    <row r="93" spans="1:24" ht="18" customHeight="1">
      <c r="A93" s="1"/>
      <c r="B93" s="8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4"/>
      <c r="W93" s="5"/>
      <c r="X93" s="1"/>
    </row>
    <row r="94" spans="1:24" ht="18" customHeight="1">
      <c r="A94" s="1"/>
      <c r="B94" s="8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4"/>
      <c r="W94" s="5"/>
      <c r="X94" s="1"/>
    </row>
    <row r="95" spans="1:24" ht="18" customHeight="1">
      <c r="A95" s="1"/>
      <c r="B95" s="8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4"/>
      <c r="W95" s="5"/>
      <c r="X95" s="1"/>
    </row>
    <row r="96" spans="1:24" ht="18" customHeight="1">
      <c r="A96" s="1"/>
      <c r="B96" s="8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4"/>
      <c r="W96" s="5"/>
      <c r="X96" s="1"/>
    </row>
    <row r="97" spans="1:24" ht="18" customHeight="1">
      <c r="A97" s="1"/>
      <c r="B97" s="8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4"/>
      <c r="W97" s="5"/>
      <c r="X97" s="1"/>
    </row>
    <row r="98" spans="1:24" ht="18" customHeight="1">
      <c r="A98" s="1"/>
      <c r="B98" s="8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4"/>
      <c r="W98" s="5"/>
      <c r="X98" s="1"/>
    </row>
    <row r="99" spans="1:24" ht="18" customHeight="1">
      <c r="A99" s="1"/>
      <c r="B99" s="8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4"/>
      <c r="W99" s="5"/>
      <c r="X99" s="1"/>
    </row>
    <row r="100" spans="1:24" ht="18" customHeight="1">
      <c r="A100" s="1"/>
      <c r="B100" s="8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4"/>
      <c r="W100" s="5"/>
      <c r="X100" s="1"/>
    </row>
  </sheetData>
  <conditionalFormatting sqref="C5:U18">
    <cfRule type="cellIs" dxfId="8" priority="1" operator="equal">
      <formula>0</formula>
    </cfRule>
  </conditionalFormatting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70FEF"/>
  </sheetPr>
  <dimension ref="A1:AI10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10" defaultColWidth="11.140625" defaultRowHeight="15" customHeight="1"/>
  <cols>
    <col min="1" max="1" width="3.28515625" customWidth="1"/>
    <col min="2" max="2" width="24.140625" customWidth="1"/>
    <col min="3" max="3" width="4.7109375" bestFit="1" customWidth="1"/>
    <col min="4" max="5" width="3.7109375" customWidth="1"/>
    <col min="6" max="6" width="5.5703125" bestFit="1" customWidth="1"/>
    <col min="7" max="11" width="3.7109375" customWidth="1"/>
    <col min="12" max="12" width="5.5703125" bestFit="1" customWidth="1"/>
    <col min="13" max="23" width="3.7109375" customWidth="1"/>
    <col min="24" max="24" width="9.140625" bestFit="1" customWidth="1"/>
    <col min="25" max="25" width="5.5703125" bestFit="1" customWidth="1"/>
    <col min="26" max="26" width="3.7109375" customWidth="1"/>
    <col min="27" max="27" width="7.5703125" bestFit="1" customWidth="1"/>
    <col min="28" max="28" width="3.7109375" customWidth="1"/>
    <col min="29" max="29" width="6.5703125" bestFit="1" customWidth="1"/>
    <col min="30" max="32" width="3.7109375" customWidth="1"/>
    <col min="33" max="33" width="13.7109375" bestFit="1" customWidth="1"/>
    <col min="34" max="34" width="9" bestFit="1" customWidth="1"/>
    <col min="35" max="35" width="7.140625" customWidth="1"/>
  </cols>
  <sheetData>
    <row r="1" spans="1:35" ht="18" customHeight="1">
      <c r="A1" s="1"/>
      <c r="B1" s="28">
        <v>2023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4"/>
      <c r="AH1" s="1"/>
      <c r="AI1" s="1"/>
    </row>
    <row r="2" spans="1:35" ht="18" customHeight="1">
      <c r="A2" s="1"/>
      <c r="B2" s="6" t="s">
        <v>0</v>
      </c>
      <c r="C2" s="7">
        <f>COUNT(C5:AF5)</f>
        <v>30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4"/>
      <c r="AH2" s="1"/>
      <c r="AI2" s="1"/>
    </row>
    <row r="3" spans="1:35" ht="18" customHeight="1">
      <c r="A3" s="1"/>
      <c r="B3" s="8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4"/>
      <c r="AH3" s="1"/>
      <c r="AI3" s="1"/>
    </row>
    <row r="4" spans="1:35" ht="18" customHeight="1">
      <c r="A4" s="9"/>
      <c r="B4" s="8"/>
      <c r="C4" s="29" t="s">
        <v>1</v>
      </c>
      <c r="D4" s="29" t="s">
        <v>36</v>
      </c>
      <c r="E4" s="29" t="s">
        <v>37</v>
      </c>
      <c r="F4" s="29" t="s">
        <v>38</v>
      </c>
      <c r="G4" s="29" t="s">
        <v>39</v>
      </c>
      <c r="H4" s="29" t="s">
        <v>40</v>
      </c>
      <c r="I4" s="29" t="s">
        <v>41</v>
      </c>
      <c r="J4" s="29" t="s">
        <v>42</v>
      </c>
      <c r="K4" s="29" t="s">
        <v>43</v>
      </c>
      <c r="L4" s="29" t="s">
        <v>44</v>
      </c>
      <c r="M4" s="29" t="s">
        <v>45</v>
      </c>
      <c r="N4" s="29" t="s">
        <v>46</v>
      </c>
      <c r="O4" s="29" t="s">
        <v>47</v>
      </c>
      <c r="P4" s="29" t="s">
        <v>48</v>
      </c>
      <c r="Q4" s="29" t="s">
        <v>49</v>
      </c>
      <c r="R4" s="29" t="s">
        <v>50</v>
      </c>
      <c r="S4" s="29" t="s">
        <v>51</v>
      </c>
      <c r="T4" s="29" t="s">
        <v>52</v>
      </c>
      <c r="U4" s="29" t="s">
        <v>53</v>
      </c>
      <c r="V4" s="29" t="s">
        <v>54</v>
      </c>
      <c r="W4" s="29" t="s">
        <v>55</v>
      </c>
      <c r="X4" s="29" t="s">
        <v>56</v>
      </c>
      <c r="Y4" s="29" t="s">
        <v>57</v>
      </c>
      <c r="Z4" s="29" t="s">
        <v>58</v>
      </c>
      <c r="AA4" s="29" t="s">
        <v>59</v>
      </c>
      <c r="AB4" s="29" t="s">
        <v>60</v>
      </c>
      <c r="AC4" s="29" t="s">
        <v>61</v>
      </c>
      <c r="AD4" s="29" t="s">
        <v>62</v>
      </c>
      <c r="AE4" s="29" t="s">
        <v>63</v>
      </c>
      <c r="AF4" s="29" t="s">
        <v>64</v>
      </c>
      <c r="AG4" s="11" t="s">
        <v>20</v>
      </c>
      <c r="AH4" s="9"/>
      <c r="AI4" s="9"/>
    </row>
    <row r="5" spans="1:35" ht="18" customHeight="1">
      <c r="A5" s="13"/>
      <c r="B5" s="14" t="s">
        <v>21</v>
      </c>
      <c r="C5" s="15">
        <v>19</v>
      </c>
      <c r="D5" s="15">
        <v>468</v>
      </c>
      <c r="E5" s="15">
        <v>142</v>
      </c>
      <c r="F5" s="15">
        <v>3442</v>
      </c>
      <c r="G5" s="15">
        <v>35</v>
      </c>
      <c r="H5" s="15">
        <v>68</v>
      </c>
      <c r="I5" s="15">
        <v>122</v>
      </c>
      <c r="J5" s="15">
        <v>237</v>
      </c>
      <c r="K5" s="15">
        <v>531</v>
      </c>
      <c r="L5" s="15">
        <v>1351</v>
      </c>
      <c r="M5" s="15">
        <v>19</v>
      </c>
      <c r="N5" s="15">
        <v>7</v>
      </c>
      <c r="O5" s="15">
        <v>260</v>
      </c>
      <c r="P5" s="15">
        <v>70</v>
      </c>
      <c r="Q5" s="15">
        <v>47</v>
      </c>
      <c r="R5" s="15">
        <v>359</v>
      </c>
      <c r="S5" s="15">
        <v>373</v>
      </c>
      <c r="T5" s="15">
        <v>480</v>
      </c>
      <c r="U5" s="15">
        <v>85</v>
      </c>
      <c r="V5" s="15">
        <v>6</v>
      </c>
      <c r="W5" s="15">
        <v>20</v>
      </c>
      <c r="X5" s="15">
        <v>1569831</v>
      </c>
      <c r="Y5" s="15">
        <v>1395</v>
      </c>
      <c r="Z5" s="15">
        <v>197</v>
      </c>
      <c r="AA5" s="15">
        <v>114998</v>
      </c>
      <c r="AB5" s="15">
        <v>20</v>
      </c>
      <c r="AC5" s="15">
        <v>28595</v>
      </c>
      <c r="AD5" s="15">
        <v>94</v>
      </c>
      <c r="AE5" s="15">
        <v>41</v>
      </c>
      <c r="AF5" s="15">
        <v>178</v>
      </c>
      <c r="AG5" s="17">
        <f t="shared" ref="AG5:AG18" si="0">SUM(C5:AF5)</f>
        <v>1723490</v>
      </c>
      <c r="AH5" s="13"/>
      <c r="AI5" s="13"/>
    </row>
    <row r="6" spans="1:35" ht="18" customHeight="1">
      <c r="A6" s="13"/>
      <c r="B6" s="14" t="s">
        <v>22</v>
      </c>
      <c r="C6" s="15">
        <v>8</v>
      </c>
      <c r="D6" s="15">
        <v>347</v>
      </c>
      <c r="E6" s="15">
        <v>0</v>
      </c>
      <c r="F6" s="15">
        <v>0</v>
      </c>
      <c r="G6" s="15">
        <v>35</v>
      </c>
      <c r="H6" s="15">
        <v>1</v>
      </c>
      <c r="I6" s="15">
        <v>118</v>
      </c>
      <c r="J6" s="15">
        <v>168</v>
      </c>
      <c r="K6" s="15">
        <v>34</v>
      </c>
      <c r="L6" s="15">
        <v>1088</v>
      </c>
      <c r="M6" s="15">
        <v>9</v>
      </c>
      <c r="N6" s="15">
        <v>2</v>
      </c>
      <c r="O6" s="15">
        <v>183</v>
      </c>
      <c r="P6" s="15">
        <v>2</v>
      </c>
      <c r="Q6" s="15">
        <v>35</v>
      </c>
      <c r="R6" s="15">
        <v>188</v>
      </c>
      <c r="S6" s="15">
        <v>0</v>
      </c>
      <c r="T6" s="15">
        <v>257</v>
      </c>
      <c r="U6" s="15">
        <v>3</v>
      </c>
      <c r="V6" s="15">
        <v>4</v>
      </c>
      <c r="W6" s="15">
        <v>6</v>
      </c>
      <c r="X6" s="15">
        <v>321467</v>
      </c>
      <c r="Y6" s="15">
        <v>621</v>
      </c>
      <c r="Z6" s="15">
        <v>17</v>
      </c>
      <c r="AA6" s="15">
        <v>110991</v>
      </c>
      <c r="AB6" s="15">
        <v>1</v>
      </c>
      <c r="AC6" s="15">
        <v>22675</v>
      </c>
      <c r="AD6" s="15">
        <v>8</v>
      </c>
      <c r="AE6" s="15">
        <v>9</v>
      </c>
      <c r="AF6" s="15">
        <v>146</v>
      </c>
      <c r="AG6" s="17">
        <f t="shared" si="0"/>
        <v>458423</v>
      </c>
      <c r="AH6" s="13"/>
      <c r="AI6" s="13"/>
    </row>
    <row r="7" spans="1:35" ht="18" customHeight="1">
      <c r="A7" s="13"/>
      <c r="B7" s="14" t="s">
        <v>23</v>
      </c>
      <c r="C7" s="15">
        <v>6</v>
      </c>
      <c r="D7" s="15">
        <v>121</v>
      </c>
      <c r="E7" s="15">
        <v>116</v>
      </c>
      <c r="F7" s="15">
        <v>231</v>
      </c>
      <c r="G7" s="15">
        <v>0</v>
      </c>
      <c r="H7" s="15">
        <v>10</v>
      </c>
      <c r="I7" s="15">
        <v>0</v>
      </c>
      <c r="J7" s="15">
        <v>51</v>
      </c>
      <c r="K7" s="15">
        <v>488</v>
      </c>
      <c r="L7" s="15">
        <v>197</v>
      </c>
      <c r="M7" s="15">
        <v>0</v>
      </c>
      <c r="N7" s="15">
        <v>2</v>
      </c>
      <c r="O7" s="15">
        <v>57</v>
      </c>
      <c r="P7" s="15">
        <v>64</v>
      </c>
      <c r="Q7" s="15">
        <v>4</v>
      </c>
      <c r="R7" s="15">
        <v>168</v>
      </c>
      <c r="S7" s="15">
        <v>100</v>
      </c>
      <c r="T7" s="15">
        <v>54</v>
      </c>
      <c r="U7" s="15">
        <v>77</v>
      </c>
      <c r="V7" s="15">
        <v>0</v>
      </c>
      <c r="W7" s="15">
        <v>8</v>
      </c>
      <c r="X7" s="15">
        <v>1085</v>
      </c>
      <c r="Y7" s="15">
        <v>97</v>
      </c>
      <c r="Z7" s="15">
        <v>0</v>
      </c>
      <c r="AA7" s="15">
        <v>596</v>
      </c>
      <c r="AB7" s="15">
        <v>13</v>
      </c>
      <c r="AC7" s="15">
        <v>1082</v>
      </c>
      <c r="AD7" s="15">
        <v>76</v>
      </c>
      <c r="AE7" s="15">
        <v>30</v>
      </c>
      <c r="AF7" s="15">
        <v>27</v>
      </c>
      <c r="AG7" s="17">
        <f t="shared" si="0"/>
        <v>4760</v>
      </c>
      <c r="AH7" s="13"/>
      <c r="AI7" s="13"/>
    </row>
    <row r="8" spans="1:35" ht="18" customHeight="1">
      <c r="A8" s="13"/>
      <c r="B8" s="19" t="s">
        <v>24</v>
      </c>
      <c r="C8" s="20">
        <v>6</v>
      </c>
      <c r="D8" s="20">
        <v>28</v>
      </c>
      <c r="E8" s="20">
        <v>70</v>
      </c>
      <c r="F8" s="20">
        <v>4</v>
      </c>
      <c r="G8" s="20">
        <v>3</v>
      </c>
      <c r="H8" s="20">
        <v>9</v>
      </c>
      <c r="I8" s="20">
        <v>2</v>
      </c>
      <c r="J8" s="20">
        <v>23</v>
      </c>
      <c r="K8" s="20">
        <v>80</v>
      </c>
      <c r="L8" s="20">
        <v>70</v>
      </c>
      <c r="M8" s="20">
        <v>2</v>
      </c>
      <c r="N8" s="20">
        <v>2</v>
      </c>
      <c r="O8" s="20">
        <v>26</v>
      </c>
      <c r="P8" s="20">
        <v>46</v>
      </c>
      <c r="Q8" s="20">
        <v>3</v>
      </c>
      <c r="R8" s="20">
        <v>43</v>
      </c>
      <c r="S8" s="20">
        <v>100</v>
      </c>
      <c r="T8" s="20">
        <v>11</v>
      </c>
      <c r="U8" s="20">
        <v>43</v>
      </c>
      <c r="V8" s="20">
        <v>4</v>
      </c>
      <c r="W8" s="20">
        <v>8</v>
      </c>
      <c r="X8" s="20">
        <v>3</v>
      </c>
      <c r="Y8" s="20">
        <v>20</v>
      </c>
      <c r="Z8" s="20">
        <v>17</v>
      </c>
      <c r="AA8" s="20">
        <v>9</v>
      </c>
      <c r="AB8" s="20">
        <v>4</v>
      </c>
      <c r="AC8" s="20">
        <v>3</v>
      </c>
      <c r="AD8" s="20">
        <v>14</v>
      </c>
      <c r="AE8" s="20">
        <v>17</v>
      </c>
      <c r="AF8" s="20">
        <v>23</v>
      </c>
      <c r="AG8" s="30">
        <f t="shared" si="0"/>
        <v>693</v>
      </c>
      <c r="AH8" s="13"/>
      <c r="AI8" s="13"/>
    </row>
    <row r="9" spans="1:35" ht="18" customHeight="1">
      <c r="A9" s="21"/>
      <c r="B9" s="22" t="s">
        <v>25</v>
      </c>
      <c r="C9" s="23">
        <v>6</v>
      </c>
      <c r="D9" s="23">
        <v>28</v>
      </c>
      <c r="E9" s="23">
        <v>70</v>
      </c>
      <c r="F9" s="23">
        <v>4</v>
      </c>
      <c r="G9" s="23">
        <v>3</v>
      </c>
      <c r="H9" s="23">
        <v>9</v>
      </c>
      <c r="I9" s="23">
        <v>2</v>
      </c>
      <c r="J9" s="23">
        <v>23</v>
      </c>
      <c r="K9" s="23">
        <v>80</v>
      </c>
      <c r="L9" s="23">
        <v>69</v>
      </c>
      <c r="M9" s="23">
        <v>2</v>
      </c>
      <c r="N9" s="23">
        <v>2</v>
      </c>
      <c r="O9" s="23">
        <v>26</v>
      </c>
      <c r="P9" s="23">
        <v>46</v>
      </c>
      <c r="Q9" s="23">
        <v>3</v>
      </c>
      <c r="R9" s="23">
        <v>43</v>
      </c>
      <c r="S9" s="23">
        <v>100</v>
      </c>
      <c r="T9" s="23">
        <v>11</v>
      </c>
      <c r="U9" s="23">
        <v>43</v>
      </c>
      <c r="V9" s="23">
        <v>4</v>
      </c>
      <c r="W9" s="23">
        <v>8</v>
      </c>
      <c r="X9" s="23">
        <v>3</v>
      </c>
      <c r="Y9" s="23">
        <v>21</v>
      </c>
      <c r="Z9" s="23">
        <v>17</v>
      </c>
      <c r="AA9" s="23">
        <v>9</v>
      </c>
      <c r="AB9" s="23">
        <v>4</v>
      </c>
      <c r="AC9" s="23">
        <v>3</v>
      </c>
      <c r="AD9" s="23">
        <v>14</v>
      </c>
      <c r="AE9" s="23">
        <v>17</v>
      </c>
      <c r="AF9" s="23">
        <v>23</v>
      </c>
      <c r="AG9" s="31">
        <f t="shared" si="0"/>
        <v>693</v>
      </c>
      <c r="AH9" s="21"/>
      <c r="AI9" s="21"/>
    </row>
    <row r="10" spans="1:35" ht="18" customHeight="1">
      <c r="A10" s="21"/>
      <c r="B10" s="25" t="s">
        <v>26</v>
      </c>
      <c r="C10" s="26">
        <v>8</v>
      </c>
      <c r="D10" s="26">
        <v>40</v>
      </c>
      <c r="E10" s="26">
        <v>112</v>
      </c>
      <c r="F10" s="26">
        <v>4</v>
      </c>
      <c r="G10" s="26">
        <v>3</v>
      </c>
      <c r="H10" s="26">
        <v>14</v>
      </c>
      <c r="I10" s="26">
        <v>2</v>
      </c>
      <c r="J10" s="26">
        <v>43</v>
      </c>
      <c r="K10" s="26">
        <v>139</v>
      </c>
      <c r="L10" s="26">
        <v>110</v>
      </c>
      <c r="M10" s="26">
        <v>2</v>
      </c>
      <c r="N10" s="26">
        <v>2</v>
      </c>
      <c r="O10" s="26">
        <v>45</v>
      </c>
      <c r="P10" s="26">
        <v>89</v>
      </c>
      <c r="Q10" s="26">
        <v>5</v>
      </c>
      <c r="R10" s="26">
        <v>85</v>
      </c>
      <c r="S10" s="26">
        <v>192</v>
      </c>
      <c r="T10" s="26">
        <v>11</v>
      </c>
      <c r="U10" s="26">
        <v>73</v>
      </c>
      <c r="V10" s="26">
        <v>4</v>
      </c>
      <c r="W10" s="26">
        <v>14</v>
      </c>
      <c r="X10" s="26">
        <v>4</v>
      </c>
      <c r="Y10" s="26">
        <v>36</v>
      </c>
      <c r="Z10" s="26">
        <v>24</v>
      </c>
      <c r="AA10" s="26">
        <v>10</v>
      </c>
      <c r="AB10" s="26">
        <v>8</v>
      </c>
      <c r="AC10" s="26">
        <v>4</v>
      </c>
      <c r="AD10" s="26">
        <v>22</v>
      </c>
      <c r="AE10" s="26">
        <v>29</v>
      </c>
      <c r="AF10" s="26">
        <v>40</v>
      </c>
      <c r="AG10" s="24">
        <f t="shared" si="0"/>
        <v>1174</v>
      </c>
      <c r="AH10" s="21"/>
      <c r="AI10" s="21"/>
    </row>
    <row r="11" spans="1:35" ht="18" customHeight="1">
      <c r="A11" s="21"/>
      <c r="B11" s="25" t="s">
        <v>27</v>
      </c>
      <c r="C11" s="26">
        <v>3</v>
      </c>
      <c r="D11" s="26">
        <v>6</v>
      </c>
      <c r="E11" s="26">
        <v>40</v>
      </c>
      <c r="F11" s="26">
        <v>0</v>
      </c>
      <c r="G11" s="26">
        <v>1</v>
      </c>
      <c r="H11" s="26">
        <v>5</v>
      </c>
      <c r="I11" s="26">
        <v>0</v>
      </c>
      <c r="J11" s="26">
        <v>17</v>
      </c>
      <c r="K11" s="26">
        <v>96</v>
      </c>
      <c r="L11" s="26">
        <v>93</v>
      </c>
      <c r="M11" s="26">
        <v>0</v>
      </c>
      <c r="N11" s="26">
        <v>0</v>
      </c>
      <c r="O11" s="26">
        <v>31</v>
      </c>
      <c r="P11" s="26">
        <v>61</v>
      </c>
      <c r="Q11" s="26">
        <v>2</v>
      </c>
      <c r="R11" s="26">
        <v>34</v>
      </c>
      <c r="S11" s="26">
        <v>70</v>
      </c>
      <c r="T11" s="26">
        <v>0</v>
      </c>
      <c r="U11" s="26">
        <v>36</v>
      </c>
      <c r="V11" s="26">
        <v>1</v>
      </c>
      <c r="W11" s="26">
        <v>6</v>
      </c>
      <c r="X11" s="26">
        <v>2</v>
      </c>
      <c r="Y11" s="26">
        <v>16</v>
      </c>
      <c r="Z11" s="26">
        <v>5</v>
      </c>
      <c r="AA11" s="26">
        <v>1</v>
      </c>
      <c r="AB11" s="26">
        <v>3</v>
      </c>
      <c r="AC11" s="26">
        <v>3</v>
      </c>
      <c r="AD11" s="26">
        <v>8</v>
      </c>
      <c r="AE11" s="26">
        <v>11</v>
      </c>
      <c r="AF11" s="26">
        <v>31</v>
      </c>
      <c r="AG11" s="24">
        <f t="shared" si="0"/>
        <v>582</v>
      </c>
      <c r="AH11" s="27">
        <f>PRODUCT(AG11,100)/AG10</f>
        <v>49.574105621805792</v>
      </c>
      <c r="AI11" s="18" t="s">
        <v>28</v>
      </c>
    </row>
    <row r="12" spans="1:35" ht="18" customHeight="1">
      <c r="A12" s="21"/>
      <c r="B12" s="25" t="s">
        <v>29</v>
      </c>
      <c r="C12" s="26">
        <v>4</v>
      </c>
      <c r="D12" s="26">
        <v>26</v>
      </c>
      <c r="E12" s="26">
        <v>58</v>
      </c>
      <c r="F12" s="26">
        <v>4</v>
      </c>
      <c r="G12" s="26">
        <v>2</v>
      </c>
      <c r="H12" s="26">
        <v>5</v>
      </c>
      <c r="I12" s="26">
        <v>2</v>
      </c>
      <c r="J12" s="26">
        <v>14</v>
      </c>
      <c r="K12" s="26">
        <v>11</v>
      </c>
      <c r="L12" s="26">
        <v>0</v>
      </c>
      <c r="M12" s="26">
        <v>2</v>
      </c>
      <c r="N12" s="26">
        <v>2</v>
      </c>
      <c r="O12" s="26">
        <v>0</v>
      </c>
      <c r="P12" s="26">
        <v>1</v>
      </c>
      <c r="Q12" s="26">
        <v>3</v>
      </c>
      <c r="R12" s="26">
        <v>33</v>
      </c>
      <c r="S12" s="26">
        <v>76</v>
      </c>
      <c r="T12" s="26">
        <v>11</v>
      </c>
      <c r="U12" s="26">
        <v>12</v>
      </c>
      <c r="V12" s="26">
        <v>3</v>
      </c>
      <c r="W12" s="26">
        <v>3</v>
      </c>
      <c r="X12" s="26">
        <v>2</v>
      </c>
      <c r="Y12" s="26">
        <v>19</v>
      </c>
      <c r="Z12" s="26">
        <v>13</v>
      </c>
      <c r="AA12" s="26">
        <v>8</v>
      </c>
      <c r="AB12" s="26">
        <v>2</v>
      </c>
      <c r="AC12" s="26">
        <v>0</v>
      </c>
      <c r="AD12" s="26">
        <v>12</v>
      </c>
      <c r="AE12" s="26">
        <v>9</v>
      </c>
      <c r="AF12" s="26">
        <v>2</v>
      </c>
      <c r="AG12" s="24">
        <f t="shared" si="0"/>
        <v>339</v>
      </c>
      <c r="AH12" s="27">
        <f>PRODUCT(AG12,100)/AG10</f>
        <v>28.875638841567291</v>
      </c>
      <c r="AI12" s="18" t="s">
        <v>28</v>
      </c>
    </row>
    <row r="13" spans="1:35" ht="18" customHeight="1">
      <c r="A13" s="21"/>
      <c r="B13" s="25" t="s">
        <v>30</v>
      </c>
      <c r="C13" s="26">
        <v>1</v>
      </c>
      <c r="D13" s="26">
        <v>8</v>
      </c>
      <c r="E13" s="26">
        <v>14</v>
      </c>
      <c r="F13" s="26">
        <v>0</v>
      </c>
      <c r="G13" s="26">
        <v>0</v>
      </c>
      <c r="H13" s="26">
        <v>4</v>
      </c>
      <c r="I13" s="26">
        <v>0</v>
      </c>
      <c r="J13" s="26">
        <v>12</v>
      </c>
      <c r="K13" s="26">
        <v>32</v>
      </c>
      <c r="L13" s="26">
        <v>17</v>
      </c>
      <c r="M13" s="26">
        <v>0</v>
      </c>
      <c r="N13" s="26">
        <v>0</v>
      </c>
      <c r="O13" s="26">
        <v>14</v>
      </c>
      <c r="P13" s="26">
        <v>27</v>
      </c>
      <c r="Q13" s="26">
        <v>0</v>
      </c>
      <c r="R13" s="26">
        <v>18</v>
      </c>
      <c r="S13" s="26">
        <v>46</v>
      </c>
      <c r="T13" s="26">
        <v>0</v>
      </c>
      <c r="U13" s="26">
        <v>25</v>
      </c>
      <c r="V13" s="26">
        <v>0</v>
      </c>
      <c r="W13" s="26">
        <v>5</v>
      </c>
      <c r="X13" s="26">
        <v>0</v>
      </c>
      <c r="Y13" s="26">
        <v>1</v>
      </c>
      <c r="Z13" s="26">
        <v>5</v>
      </c>
      <c r="AA13" s="26">
        <v>1</v>
      </c>
      <c r="AB13" s="26">
        <v>3</v>
      </c>
      <c r="AC13" s="26">
        <v>1</v>
      </c>
      <c r="AD13" s="26">
        <v>2</v>
      </c>
      <c r="AE13" s="26">
        <v>9</v>
      </c>
      <c r="AF13" s="26">
        <v>7</v>
      </c>
      <c r="AG13" s="24">
        <f t="shared" si="0"/>
        <v>252</v>
      </c>
      <c r="AH13" s="27">
        <f>PRODUCT(AG13,100)/AG10</f>
        <v>21.465076660988075</v>
      </c>
      <c r="AI13" s="18" t="s">
        <v>28</v>
      </c>
    </row>
    <row r="14" spans="1:35" ht="18" customHeight="1">
      <c r="A14" s="21"/>
      <c r="B14" s="25" t="s">
        <v>31</v>
      </c>
      <c r="C14" s="26">
        <v>1</v>
      </c>
      <c r="D14" s="26">
        <v>3</v>
      </c>
      <c r="E14" s="26">
        <v>36</v>
      </c>
      <c r="F14" s="26">
        <v>0</v>
      </c>
      <c r="G14" s="26">
        <v>0</v>
      </c>
      <c r="H14" s="26">
        <v>1</v>
      </c>
      <c r="I14" s="26">
        <v>0</v>
      </c>
      <c r="J14" s="26">
        <v>11</v>
      </c>
      <c r="K14" s="26">
        <v>20</v>
      </c>
      <c r="L14" s="26">
        <v>0</v>
      </c>
      <c r="M14" s="26">
        <v>2</v>
      </c>
      <c r="N14" s="26">
        <v>1</v>
      </c>
      <c r="O14" s="26">
        <v>8</v>
      </c>
      <c r="P14" s="26">
        <v>8</v>
      </c>
      <c r="Q14" s="26">
        <v>3</v>
      </c>
      <c r="R14" s="26">
        <v>23</v>
      </c>
      <c r="S14" s="26">
        <v>46</v>
      </c>
      <c r="T14" s="26">
        <v>0</v>
      </c>
      <c r="U14" s="26">
        <v>4</v>
      </c>
      <c r="V14" s="26">
        <v>1</v>
      </c>
      <c r="W14" s="26">
        <v>1</v>
      </c>
      <c r="X14" s="26">
        <v>1</v>
      </c>
      <c r="Y14" s="26">
        <v>0</v>
      </c>
      <c r="Z14" s="26">
        <v>15</v>
      </c>
      <c r="AA14" s="26">
        <v>0</v>
      </c>
      <c r="AB14" s="26">
        <v>1</v>
      </c>
      <c r="AC14" s="26">
        <v>0</v>
      </c>
      <c r="AD14" s="26">
        <v>11</v>
      </c>
      <c r="AE14" s="26">
        <v>7</v>
      </c>
      <c r="AF14" s="26">
        <v>18</v>
      </c>
      <c r="AG14" s="24">
        <f t="shared" si="0"/>
        <v>222</v>
      </c>
      <c r="AH14" s="27">
        <f>PRODUCT(AG14,100)/AG9</f>
        <v>32.034632034632033</v>
      </c>
      <c r="AI14" s="18" t="s">
        <v>28</v>
      </c>
    </row>
    <row r="15" spans="1:35" ht="18" customHeight="1">
      <c r="A15" s="21"/>
      <c r="B15" s="25" t="s">
        <v>32</v>
      </c>
      <c r="C15" s="26">
        <v>3</v>
      </c>
      <c r="D15" s="26">
        <v>0</v>
      </c>
      <c r="E15" s="26">
        <v>14</v>
      </c>
      <c r="F15" s="26">
        <v>0</v>
      </c>
      <c r="G15" s="26">
        <v>0</v>
      </c>
      <c r="H15" s="26">
        <v>1</v>
      </c>
      <c r="I15" s="26">
        <v>0</v>
      </c>
      <c r="J15" s="26">
        <v>3</v>
      </c>
      <c r="K15" s="26">
        <v>15</v>
      </c>
      <c r="L15" s="26">
        <v>2</v>
      </c>
      <c r="M15" s="26">
        <v>0</v>
      </c>
      <c r="N15" s="26">
        <v>0</v>
      </c>
      <c r="O15" s="26">
        <v>0</v>
      </c>
      <c r="P15" s="26">
        <v>7</v>
      </c>
      <c r="Q15" s="26">
        <v>0</v>
      </c>
      <c r="R15" s="26">
        <v>10</v>
      </c>
      <c r="S15" s="26">
        <v>19</v>
      </c>
      <c r="T15" s="26">
        <v>0</v>
      </c>
      <c r="U15" s="26">
        <v>4</v>
      </c>
      <c r="V15" s="26">
        <v>0</v>
      </c>
      <c r="W15" s="26">
        <v>1</v>
      </c>
      <c r="X15" s="26">
        <v>0</v>
      </c>
      <c r="Y15" s="26">
        <v>19</v>
      </c>
      <c r="Z15" s="26">
        <v>0</v>
      </c>
      <c r="AA15" s="26">
        <v>1</v>
      </c>
      <c r="AB15" s="26">
        <v>1</v>
      </c>
      <c r="AC15" s="26">
        <v>0</v>
      </c>
      <c r="AD15" s="26">
        <v>2</v>
      </c>
      <c r="AE15" s="26">
        <v>1</v>
      </c>
      <c r="AF15" s="26">
        <v>2</v>
      </c>
      <c r="AG15" s="24">
        <f t="shared" si="0"/>
        <v>105</v>
      </c>
      <c r="AH15" s="27">
        <f>PRODUCT(AG15,100)/AG9</f>
        <v>15.151515151515152</v>
      </c>
      <c r="AI15" s="18" t="s">
        <v>28</v>
      </c>
    </row>
    <row r="16" spans="1:35" ht="18" customHeight="1">
      <c r="A16" s="21"/>
      <c r="B16" s="25" t="s">
        <v>33</v>
      </c>
      <c r="C16" s="26">
        <v>1</v>
      </c>
      <c r="D16" s="26">
        <v>0</v>
      </c>
      <c r="E16" s="26">
        <v>10</v>
      </c>
      <c r="F16" s="26">
        <v>0</v>
      </c>
      <c r="G16" s="26">
        <v>0</v>
      </c>
      <c r="H16" s="26">
        <v>3</v>
      </c>
      <c r="I16" s="26">
        <v>0</v>
      </c>
      <c r="J16" s="26">
        <v>0</v>
      </c>
      <c r="K16" s="26">
        <v>17</v>
      </c>
      <c r="L16" s="26">
        <v>2</v>
      </c>
      <c r="M16" s="26">
        <v>0</v>
      </c>
      <c r="N16" s="26">
        <v>1</v>
      </c>
      <c r="O16" s="26">
        <v>4</v>
      </c>
      <c r="P16" s="26">
        <v>12</v>
      </c>
      <c r="Q16" s="26">
        <v>0</v>
      </c>
      <c r="R16" s="26">
        <v>3</v>
      </c>
      <c r="S16" s="26">
        <v>3</v>
      </c>
      <c r="T16" s="26">
        <v>0</v>
      </c>
      <c r="U16" s="26">
        <v>1</v>
      </c>
      <c r="V16" s="26">
        <v>0</v>
      </c>
      <c r="W16" s="26">
        <v>1</v>
      </c>
      <c r="X16" s="26">
        <v>0</v>
      </c>
      <c r="Y16" s="26">
        <v>0</v>
      </c>
      <c r="Z16" s="26">
        <v>0</v>
      </c>
      <c r="AA16" s="26">
        <v>3</v>
      </c>
      <c r="AB16" s="26">
        <v>0</v>
      </c>
      <c r="AC16" s="26">
        <v>1</v>
      </c>
      <c r="AD16" s="26">
        <v>1</v>
      </c>
      <c r="AE16" s="26">
        <v>2</v>
      </c>
      <c r="AF16" s="26">
        <v>0</v>
      </c>
      <c r="AG16" s="24">
        <f t="shared" si="0"/>
        <v>65</v>
      </c>
      <c r="AH16" s="27">
        <f>PRODUCT(AG16,100)/AG9</f>
        <v>9.3795093795093791</v>
      </c>
      <c r="AI16" s="18" t="s">
        <v>28</v>
      </c>
    </row>
    <row r="17" spans="1:35" ht="18" customHeight="1">
      <c r="A17" s="21"/>
      <c r="B17" s="25" t="s">
        <v>34</v>
      </c>
      <c r="C17" s="26">
        <v>0</v>
      </c>
      <c r="D17" s="26">
        <v>5</v>
      </c>
      <c r="E17" s="26">
        <v>4</v>
      </c>
      <c r="F17" s="26">
        <v>4</v>
      </c>
      <c r="G17" s="26">
        <v>0</v>
      </c>
      <c r="H17" s="26">
        <v>2</v>
      </c>
      <c r="I17" s="26">
        <v>0</v>
      </c>
      <c r="J17" s="26">
        <v>1</v>
      </c>
      <c r="K17" s="26">
        <v>16</v>
      </c>
      <c r="L17" s="26">
        <v>18</v>
      </c>
      <c r="M17" s="26">
        <v>0</v>
      </c>
      <c r="N17" s="26">
        <v>0</v>
      </c>
      <c r="O17" s="26">
        <v>4</v>
      </c>
      <c r="P17" s="26">
        <v>9</v>
      </c>
      <c r="Q17" s="26">
        <v>0</v>
      </c>
      <c r="R17" s="26">
        <v>1</v>
      </c>
      <c r="S17" s="26">
        <v>1</v>
      </c>
      <c r="T17" s="26">
        <v>0</v>
      </c>
      <c r="U17" s="26">
        <v>13</v>
      </c>
      <c r="V17" s="26">
        <v>0</v>
      </c>
      <c r="W17" s="26">
        <v>0</v>
      </c>
      <c r="X17" s="26">
        <v>0</v>
      </c>
      <c r="Y17" s="26">
        <v>0</v>
      </c>
      <c r="Z17" s="26">
        <v>0</v>
      </c>
      <c r="AA17" s="26">
        <v>1</v>
      </c>
      <c r="AB17" s="26">
        <v>0</v>
      </c>
      <c r="AC17" s="26">
        <v>0</v>
      </c>
      <c r="AD17" s="26">
        <v>0</v>
      </c>
      <c r="AE17" s="26">
        <v>2</v>
      </c>
      <c r="AF17" s="26">
        <v>0</v>
      </c>
      <c r="AG17" s="24">
        <f t="shared" si="0"/>
        <v>81</v>
      </c>
      <c r="AH17" s="27">
        <f>PRODUCT(AG17,100)/AG9</f>
        <v>11.688311688311689</v>
      </c>
      <c r="AI17" s="18" t="s">
        <v>28</v>
      </c>
    </row>
    <row r="18" spans="1:35" ht="18" customHeight="1">
      <c r="A18" s="21"/>
      <c r="B18" s="25" t="s">
        <v>35</v>
      </c>
      <c r="C18" s="26">
        <v>2</v>
      </c>
      <c r="D18" s="26">
        <v>25</v>
      </c>
      <c r="E18" s="26">
        <v>34</v>
      </c>
      <c r="F18" s="26">
        <v>0</v>
      </c>
      <c r="G18" s="26">
        <v>3</v>
      </c>
      <c r="H18" s="26">
        <v>2</v>
      </c>
      <c r="I18" s="26">
        <v>2</v>
      </c>
      <c r="J18" s="26">
        <v>15</v>
      </c>
      <c r="K18" s="26">
        <v>39</v>
      </c>
      <c r="L18" s="26">
        <v>70</v>
      </c>
      <c r="M18" s="26">
        <v>0</v>
      </c>
      <c r="N18" s="26">
        <v>0</v>
      </c>
      <c r="O18" s="26">
        <v>15</v>
      </c>
      <c r="P18" s="26">
        <v>26</v>
      </c>
      <c r="Q18" s="26">
        <v>2</v>
      </c>
      <c r="R18" s="26">
        <v>30</v>
      </c>
      <c r="S18" s="26">
        <v>72</v>
      </c>
      <c r="T18" s="26">
        <v>11</v>
      </c>
      <c r="U18" s="26">
        <v>26</v>
      </c>
      <c r="V18" s="26">
        <v>3</v>
      </c>
      <c r="W18" s="26">
        <v>6</v>
      </c>
      <c r="X18" s="26">
        <v>3</v>
      </c>
      <c r="Y18" s="26">
        <v>16</v>
      </c>
      <c r="Z18" s="26">
        <v>4</v>
      </c>
      <c r="AA18" s="26">
        <v>4</v>
      </c>
      <c r="AB18" s="26">
        <v>3</v>
      </c>
      <c r="AC18" s="26">
        <v>3</v>
      </c>
      <c r="AD18" s="26">
        <v>6</v>
      </c>
      <c r="AE18" s="26">
        <v>7</v>
      </c>
      <c r="AF18" s="26">
        <v>13</v>
      </c>
      <c r="AG18" s="24">
        <f t="shared" si="0"/>
        <v>442</v>
      </c>
      <c r="AH18" s="27">
        <f>PRODUCT(AG18,100)/AG9</f>
        <v>63.78066378066378</v>
      </c>
      <c r="AI18" s="18" t="s">
        <v>28</v>
      </c>
    </row>
    <row r="19" spans="1:35" ht="18" customHeight="1">
      <c r="A19" s="1"/>
      <c r="B19" s="8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4"/>
      <c r="AH19" s="1"/>
      <c r="AI19" s="1"/>
    </row>
    <row r="20" spans="1:35" ht="18" customHeight="1">
      <c r="A20" s="1"/>
      <c r="B20" s="8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4"/>
      <c r="AH20" s="1"/>
      <c r="AI20" s="1"/>
    </row>
    <row r="21" spans="1:35" ht="18" customHeight="1">
      <c r="A21" s="1"/>
      <c r="B21" s="8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4"/>
      <c r="AH21" s="1"/>
      <c r="AI21" s="1"/>
    </row>
    <row r="22" spans="1:35" ht="18" customHeight="1">
      <c r="A22" s="1"/>
      <c r="B22" s="8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4"/>
      <c r="AH22" s="1"/>
      <c r="AI22" s="1"/>
    </row>
    <row r="23" spans="1:35" ht="18" customHeight="1">
      <c r="A23" s="1"/>
      <c r="B23" s="8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4"/>
      <c r="AH23" s="1"/>
      <c r="AI23" s="1"/>
    </row>
    <row r="24" spans="1:35" ht="18" customHeight="1">
      <c r="A24" s="1"/>
      <c r="B24" s="8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4"/>
      <c r="AH24" s="1"/>
      <c r="AI24" s="1"/>
    </row>
    <row r="25" spans="1:35" ht="18" customHeight="1">
      <c r="A25" s="1"/>
      <c r="B25" s="8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4"/>
      <c r="AH25" s="1"/>
      <c r="AI25" s="1"/>
    </row>
    <row r="26" spans="1:35" ht="18" customHeight="1">
      <c r="A26" s="1"/>
      <c r="B26" s="8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4"/>
      <c r="AH26" s="1"/>
      <c r="AI26" s="1"/>
    </row>
    <row r="27" spans="1:35" ht="18" customHeight="1">
      <c r="A27" s="1"/>
      <c r="B27" s="8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4"/>
      <c r="AH27" s="1"/>
      <c r="AI27" s="1"/>
    </row>
    <row r="28" spans="1:35" ht="18" customHeight="1">
      <c r="A28" s="1"/>
      <c r="B28" s="8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4"/>
      <c r="AH28" s="1"/>
      <c r="AI28" s="1"/>
    </row>
    <row r="29" spans="1:35" ht="18" customHeight="1">
      <c r="A29" s="1"/>
      <c r="B29" s="8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4"/>
      <c r="AH29" s="1"/>
      <c r="AI29" s="1"/>
    </row>
    <row r="30" spans="1:35" ht="18" customHeight="1">
      <c r="A30" s="1"/>
      <c r="B30" s="8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4"/>
      <c r="AH30" s="1"/>
      <c r="AI30" s="1"/>
    </row>
    <row r="31" spans="1:35" ht="18" customHeight="1">
      <c r="A31" s="1"/>
      <c r="B31" s="8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4"/>
      <c r="AH31" s="1"/>
      <c r="AI31" s="1"/>
    </row>
    <row r="32" spans="1:35" ht="18" customHeight="1">
      <c r="A32" s="1"/>
      <c r="B32" s="8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4"/>
      <c r="AH32" s="1"/>
      <c r="AI32" s="1"/>
    </row>
    <row r="33" spans="1:35" ht="18" customHeight="1">
      <c r="A33" s="1"/>
      <c r="B33" s="8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4"/>
      <c r="AH33" s="1"/>
      <c r="AI33" s="1"/>
    </row>
    <row r="34" spans="1:35" ht="18" customHeight="1">
      <c r="A34" s="1"/>
      <c r="B34" s="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4"/>
      <c r="AH34" s="1"/>
      <c r="AI34" s="1"/>
    </row>
    <row r="35" spans="1:35" ht="18" customHeight="1">
      <c r="A35" s="1"/>
      <c r="B35" s="8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4"/>
      <c r="AH35" s="1"/>
      <c r="AI35" s="1"/>
    </row>
    <row r="36" spans="1:35" ht="18" customHeight="1">
      <c r="A36" s="1"/>
      <c r="B36" s="8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4"/>
      <c r="AH36" s="1"/>
      <c r="AI36" s="1"/>
    </row>
    <row r="37" spans="1:35" ht="18" customHeight="1">
      <c r="A37" s="1"/>
      <c r="B37" s="8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4"/>
      <c r="AH37" s="1"/>
      <c r="AI37" s="1"/>
    </row>
    <row r="38" spans="1:35" ht="18" customHeight="1">
      <c r="A38" s="1"/>
      <c r="B38" s="8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4"/>
      <c r="AH38" s="1"/>
      <c r="AI38" s="1"/>
    </row>
    <row r="39" spans="1:35" ht="18" customHeight="1">
      <c r="A39" s="1"/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4"/>
      <c r="AH39" s="1"/>
      <c r="AI39" s="1"/>
    </row>
    <row r="40" spans="1:35" ht="18" customHeight="1">
      <c r="A40" s="1"/>
      <c r="B40" s="8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4"/>
      <c r="AH40" s="1"/>
      <c r="AI40" s="1"/>
    </row>
    <row r="41" spans="1:35" ht="18" customHeight="1">
      <c r="A41" s="1"/>
      <c r="B41" s="8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4"/>
      <c r="AH41" s="1"/>
      <c r="AI41" s="1"/>
    </row>
    <row r="42" spans="1:35" ht="18" customHeight="1">
      <c r="A42" s="1"/>
      <c r="B42" s="8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4"/>
      <c r="AH42" s="1"/>
      <c r="AI42" s="1"/>
    </row>
    <row r="43" spans="1:35" ht="18" customHeight="1">
      <c r="A43" s="1"/>
      <c r="B43" s="8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4"/>
      <c r="AH43" s="1"/>
      <c r="AI43" s="1"/>
    </row>
    <row r="44" spans="1:35" ht="18" customHeight="1">
      <c r="A44" s="1"/>
      <c r="B44" s="8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4"/>
      <c r="AH44" s="1"/>
      <c r="AI44" s="1"/>
    </row>
    <row r="45" spans="1:35" ht="18" customHeight="1">
      <c r="A45" s="1"/>
      <c r="B45" s="8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4"/>
      <c r="AH45" s="1"/>
      <c r="AI45" s="1"/>
    </row>
    <row r="46" spans="1:35" ht="18" customHeight="1">
      <c r="A46" s="1"/>
      <c r="B46" s="8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4"/>
      <c r="AH46" s="1"/>
      <c r="AI46" s="1"/>
    </row>
    <row r="47" spans="1:35" ht="18" customHeight="1">
      <c r="A47" s="1"/>
      <c r="B47" s="8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4"/>
      <c r="AH47" s="1"/>
      <c r="AI47" s="1"/>
    </row>
    <row r="48" spans="1:35" ht="18" customHeight="1">
      <c r="A48" s="1"/>
      <c r="B48" s="8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4"/>
      <c r="AH48" s="1"/>
      <c r="AI48" s="1"/>
    </row>
    <row r="49" spans="1:35" ht="18" customHeight="1">
      <c r="A49" s="1"/>
      <c r="B49" s="8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4"/>
      <c r="AH49" s="1"/>
      <c r="AI49" s="1"/>
    </row>
    <row r="50" spans="1:35" ht="18" customHeight="1">
      <c r="A50" s="1"/>
      <c r="B50" s="8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4"/>
      <c r="AH50" s="1"/>
      <c r="AI50" s="1"/>
    </row>
    <row r="51" spans="1:35" ht="18" customHeight="1">
      <c r="A51" s="1"/>
      <c r="B51" s="8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4"/>
      <c r="AH51" s="1"/>
      <c r="AI51" s="1"/>
    </row>
    <row r="52" spans="1:35" ht="18" customHeight="1">
      <c r="A52" s="1"/>
      <c r="B52" s="8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4"/>
      <c r="AH52" s="1"/>
      <c r="AI52" s="1"/>
    </row>
    <row r="53" spans="1:35" ht="18" customHeight="1">
      <c r="A53" s="1"/>
      <c r="B53" s="8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4"/>
      <c r="AH53" s="1"/>
      <c r="AI53" s="1"/>
    </row>
    <row r="54" spans="1:35" ht="18" customHeight="1">
      <c r="A54" s="1"/>
      <c r="B54" s="8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4"/>
      <c r="AH54" s="1"/>
      <c r="AI54" s="1"/>
    </row>
    <row r="55" spans="1:35" ht="18" customHeight="1">
      <c r="A55" s="1"/>
      <c r="B55" s="8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4"/>
      <c r="AH55" s="1"/>
      <c r="AI55" s="1"/>
    </row>
    <row r="56" spans="1:35" ht="18" customHeight="1">
      <c r="A56" s="1"/>
      <c r="B56" s="8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4"/>
      <c r="AH56" s="1"/>
      <c r="AI56" s="1"/>
    </row>
    <row r="57" spans="1:35" ht="18" customHeight="1">
      <c r="A57" s="1"/>
      <c r="B57" s="8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4"/>
      <c r="AH57" s="1"/>
      <c r="AI57" s="1"/>
    </row>
    <row r="58" spans="1:35" ht="18" customHeight="1">
      <c r="A58" s="1"/>
      <c r="B58" s="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4"/>
      <c r="AH58" s="1"/>
      <c r="AI58" s="1"/>
    </row>
    <row r="59" spans="1:35" ht="18" customHeight="1">
      <c r="A59" s="1"/>
      <c r="B59" s="8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4"/>
      <c r="AH59" s="1"/>
      <c r="AI59" s="1"/>
    </row>
    <row r="60" spans="1:35" ht="18" customHeight="1">
      <c r="A60" s="1"/>
      <c r="B60" s="8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4"/>
      <c r="AH60" s="1"/>
      <c r="AI60" s="1"/>
    </row>
    <row r="61" spans="1:35" ht="18" customHeight="1">
      <c r="A61" s="1"/>
      <c r="B61" s="8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4"/>
      <c r="AH61" s="1"/>
      <c r="AI61" s="1"/>
    </row>
    <row r="62" spans="1:35" ht="18" customHeight="1">
      <c r="A62" s="1"/>
      <c r="B62" s="8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4"/>
      <c r="AH62" s="1"/>
      <c r="AI62" s="1"/>
    </row>
    <row r="63" spans="1:35" ht="18" customHeight="1">
      <c r="A63" s="1"/>
      <c r="B63" s="8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4"/>
      <c r="AH63" s="1"/>
      <c r="AI63" s="1"/>
    </row>
    <row r="64" spans="1:35" ht="18" customHeight="1">
      <c r="A64" s="1"/>
      <c r="B64" s="8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4"/>
      <c r="AH64" s="1"/>
      <c r="AI64" s="1"/>
    </row>
    <row r="65" spans="1:35" ht="18" customHeight="1">
      <c r="A65" s="1"/>
      <c r="B65" s="8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4"/>
      <c r="AH65" s="1"/>
      <c r="AI65" s="1"/>
    </row>
    <row r="66" spans="1:35" ht="18" customHeight="1">
      <c r="A66" s="1"/>
      <c r="B66" s="8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4"/>
      <c r="AH66" s="1"/>
      <c r="AI66" s="1"/>
    </row>
    <row r="67" spans="1:35" ht="18" customHeight="1">
      <c r="A67" s="1"/>
      <c r="B67" s="8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4"/>
      <c r="AH67" s="1"/>
      <c r="AI67" s="1"/>
    </row>
    <row r="68" spans="1:35" ht="18" customHeight="1">
      <c r="A68" s="1"/>
      <c r="B68" s="8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4"/>
      <c r="AH68" s="1"/>
      <c r="AI68" s="1"/>
    </row>
    <row r="69" spans="1:35" ht="18" customHeight="1">
      <c r="A69" s="1"/>
      <c r="B69" s="8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4"/>
      <c r="AH69" s="1"/>
      <c r="AI69" s="1"/>
    </row>
    <row r="70" spans="1:35" ht="18" customHeight="1">
      <c r="A70" s="1"/>
      <c r="B70" s="8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4"/>
      <c r="AH70" s="1"/>
      <c r="AI70" s="1"/>
    </row>
    <row r="71" spans="1:35" ht="18" customHeight="1">
      <c r="A71" s="1"/>
      <c r="B71" s="8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4"/>
      <c r="AH71" s="1"/>
      <c r="AI71" s="1"/>
    </row>
    <row r="72" spans="1:35" ht="18" customHeight="1">
      <c r="A72" s="1"/>
      <c r="B72" s="8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4"/>
      <c r="AH72" s="1"/>
      <c r="AI72" s="1"/>
    </row>
    <row r="73" spans="1:35" ht="18" customHeight="1">
      <c r="A73" s="1"/>
      <c r="B73" s="8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4"/>
      <c r="AH73" s="1"/>
      <c r="AI73" s="1"/>
    </row>
    <row r="74" spans="1:35" ht="18" customHeight="1">
      <c r="A74" s="1"/>
      <c r="B74" s="8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4"/>
      <c r="AH74" s="1"/>
      <c r="AI74" s="1"/>
    </row>
    <row r="75" spans="1:35" ht="18" customHeight="1">
      <c r="A75" s="1"/>
      <c r="B75" s="8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4"/>
      <c r="AH75" s="1"/>
      <c r="AI75" s="1"/>
    </row>
    <row r="76" spans="1:35" ht="18" customHeight="1">
      <c r="A76" s="1"/>
      <c r="B76" s="8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4"/>
      <c r="AH76" s="1"/>
      <c r="AI76" s="1"/>
    </row>
    <row r="77" spans="1:35" ht="18" customHeight="1">
      <c r="A77" s="1"/>
      <c r="B77" s="8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4"/>
      <c r="AH77" s="1"/>
      <c r="AI77" s="1"/>
    </row>
    <row r="78" spans="1:35" ht="18" customHeight="1">
      <c r="A78" s="1"/>
      <c r="B78" s="8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4"/>
      <c r="AH78" s="1"/>
      <c r="AI78" s="1"/>
    </row>
    <row r="79" spans="1:35" ht="18" customHeight="1">
      <c r="A79" s="1"/>
      <c r="B79" s="8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4"/>
      <c r="AH79" s="1"/>
      <c r="AI79" s="1"/>
    </row>
    <row r="80" spans="1:35" ht="18" customHeight="1">
      <c r="A80" s="1"/>
      <c r="B80" s="8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4"/>
      <c r="AH80" s="1"/>
      <c r="AI80" s="1"/>
    </row>
    <row r="81" spans="1:35" ht="18" customHeight="1">
      <c r="A81" s="1"/>
      <c r="B81" s="8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4"/>
      <c r="AH81" s="1"/>
      <c r="AI81" s="1"/>
    </row>
    <row r="82" spans="1:35" ht="18" customHeight="1">
      <c r="A82" s="1"/>
      <c r="B82" s="8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4"/>
      <c r="AH82" s="1"/>
      <c r="AI82" s="1"/>
    </row>
    <row r="83" spans="1:35" ht="18" customHeight="1">
      <c r="A83" s="1"/>
      <c r="B83" s="8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4"/>
      <c r="AH83" s="1"/>
      <c r="AI83" s="1"/>
    </row>
    <row r="84" spans="1:35" ht="18" customHeight="1">
      <c r="A84" s="1"/>
      <c r="B84" s="8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4"/>
      <c r="AH84" s="1"/>
      <c r="AI84" s="1"/>
    </row>
    <row r="85" spans="1:35" ht="18" customHeight="1">
      <c r="A85" s="1"/>
      <c r="B85" s="8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4"/>
      <c r="AH85" s="1"/>
      <c r="AI85" s="1"/>
    </row>
    <row r="86" spans="1:35" ht="18" customHeight="1">
      <c r="A86" s="1"/>
      <c r="B86" s="8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4"/>
      <c r="AH86" s="1"/>
      <c r="AI86" s="1"/>
    </row>
    <row r="87" spans="1:35" ht="18" customHeight="1">
      <c r="A87" s="1"/>
      <c r="B87" s="8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4"/>
      <c r="AH87" s="1"/>
      <c r="AI87" s="1"/>
    </row>
    <row r="88" spans="1:35" ht="18" customHeight="1">
      <c r="A88" s="1"/>
      <c r="B88" s="8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4"/>
      <c r="AH88" s="1"/>
      <c r="AI88" s="1"/>
    </row>
    <row r="89" spans="1:35" ht="18" customHeight="1">
      <c r="A89" s="1"/>
      <c r="B89" s="8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4"/>
      <c r="AH89" s="1"/>
      <c r="AI89" s="1"/>
    </row>
    <row r="90" spans="1:35" ht="18" customHeight="1">
      <c r="A90" s="1"/>
      <c r="B90" s="8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4"/>
      <c r="AH90" s="1"/>
      <c r="AI90" s="1"/>
    </row>
    <row r="91" spans="1:35" ht="18" customHeight="1">
      <c r="A91" s="1"/>
      <c r="B91" s="8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4"/>
      <c r="AH91" s="1"/>
      <c r="AI91" s="1"/>
    </row>
    <row r="92" spans="1:35" ht="18" customHeight="1">
      <c r="A92" s="1"/>
      <c r="B92" s="8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4"/>
      <c r="AH92" s="1"/>
      <c r="AI92" s="1"/>
    </row>
    <row r="93" spans="1:35" ht="18" customHeight="1">
      <c r="A93" s="1"/>
      <c r="B93" s="8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4"/>
      <c r="AH93" s="1"/>
      <c r="AI93" s="1"/>
    </row>
    <row r="94" spans="1:35" ht="18" customHeight="1">
      <c r="A94" s="1"/>
      <c r="B94" s="8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4"/>
      <c r="AH94" s="1"/>
      <c r="AI94" s="1"/>
    </row>
    <row r="95" spans="1:35" ht="18" customHeight="1">
      <c r="A95" s="1"/>
      <c r="B95" s="8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4"/>
      <c r="AH95" s="1"/>
      <c r="AI95" s="1"/>
    </row>
    <row r="96" spans="1:35" ht="18" customHeight="1">
      <c r="A96" s="1"/>
      <c r="B96" s="8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4"/>
      <c r="AH96" s="1"/>
      <c r="AI96" s="1"/>
    </row>
    <row r="97" spans="1:35" ht="18" customHeight="1">
      <c r="A97" s="1"/>
      <c r="B97" s="8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4"/>
      <c r="AH97" s="1"/>
      <c r="AI97" s="1"/>
    </row>
    <row r="98" spans="1:35" ht="18" customHeight="1">
      <c r="A98" s="1"/>
      <c r="B98" s="8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4"/>
      <c r="AH98" s="1"/>
      <c r="AI98" s="1"/>
    </row>
    <row r="99" spans="1:35" ht="18" customHeight="1">
      <c r="A99" s="1"/>
      <c r="B99" s="8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4"/>
      <c r="AH99" s="1"/>
      <c r="AI99" s="1"/>
    </row>
    <row r="100" spans="1:35" ht="18" customHeight="1">
      <c r="A100" s="1"/>
      <c r="B100" s="8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4"/>
      <c r="AH100" s="1"/>
      <c r="AI100" s="1"/>
    </row>
  </sheetData>
  <conditionalFormatting sqref="C5:AF18">
    <cfRule type="cellIs" dxfId="7" priority="1" operator="equal">
      <formula>0</formula>
    </cfRule>
  </conditionalFormatting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Y10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10" defaultColWidth="11.140625" defaultRowHeight="15" customHeight="1"/>
  <cols>
    <col min="1" max="1" width="3.28515625" customWidth="1"/>
    <col min="2" max="2" width="24.140625" customWidth="1"/>
    <col min="3" max="3" width="4.7109375" bestFit="1" customWidth="1"/>
    <col min="4" max="12" width="3.7109375" customWidth="1"/>
    <col min="13" max="13" width="5.5703125" bestFit="1" customWidth="1"/>
    <col min="14" max="22" width="3.7109375" customWidth="1"/>
    <col min="23" max="23" width="8.28515625" bestFit="1" customWidth="1"/>
    <col min="24" max="24" width="9" bestFit="1" customWidth="1"/>
    <col min="25" max="25" width="7.140625" customWidth="1"/>
  </cols>
  <sheetData>
    <row r="1" spans="1:25" ht="18" customHeight="1">
      <c r="A1" s="1"/>
      <c r="B1" s="32">
        <v>2024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1"/>
      <c r="Y1" s="1"/>
    </row>
    <row r="2" spans="1:25" ht="18" customHeight="1">
      <c r="A2" s="1"/>
      <c r="B2" s="6" t="s">
        <v>0</v>
      </c>
      <c r="C2" s="7">
        <f>COUNT(C5:V5)</f>
        <v>20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4"/>
      <c r="X2" s="1"/>
      <c r="Y2" s="1"/>
    </row>
    <row r="3" spans="1:25" ht="18" customHeight="1">
      <c r="A3" s="1"/>
      <c r="B3" s="8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4"/>
      <c r="X3" s="1"/>
      <c r="Y3" s="1"/>
    </row>
    <row r="4" spans="1:25" ht="18" customHeight="1">
      <c r="A4" s="9"/>
      <c r="B4" s="8"/>
      <c r="C4" s="33" t="s">
        <v>65</v>
      </c>
      <c r="D4" s="33" t="s">
        <v>66</v>
      </c>
      <c r="E4" s="33" t="s">
        <v>67</v>
      </c>
      <c r="F4" s="33" t="s">
        <v>68</v>
      </c>
      <c r="G4" s="33" t="s">
        <v>69</v>
      </c>
      <c r="H4" s="33" t="s">
        <v>70</v>
      </c>
      <c r="I4" s="33" t="s">
        <v>71</v>
      </c>
      <c r="J4" s="33" t="s">
        <v>72</v>
      </c>
      <c r="K4" s="33" t="s">
        <v>73</v>
      </c>
      <c r="L4" s="33" t="s">
        <v>74</v>
      </c>
      <c r="M4" s="33" t="s">
        <v>75</v>
      </c>
      <c r="N4" s="33" t="s">
        <v>76</v>
      </c>
      <c r="O4" s="33" t="s">
        <v>77</v>
      </c>
      <c r="P4" s="33" t="s">
        <v>78</v>
      </c>
      <c r="Q4" s="33" t="s">
        <v>79</v>
      </c>
      <c r="R4" s="33" t="s">
        <v>80</v>
      </c>
      <c r="S4" s="33" t="s">
        <v>81</v>
      </c>
      <c r="T4" s="33" t="s">
        <v>82</v>
      </c>
      <c r="U4" s="33" t="s">
        <v>83</v>
      </c>
      <c r="V4" s="33" t="s">
        <v>84</v>
      </c>
      <c r="W4" s="11" t="s">
        <v>20</v>
      </c>
      <c r="X4" s="9"/>
      <c r="Y4" s="9"/>
    </row>
    <row r="5" spans="1:25" ht="18" customHeight="1">
      <c r="A5" s="13"/>
      <c r="B5" s="14" t="s">
        <v>21</v>
      </c>
      <c r="C5" s="15">
        <v>277</v>
      </c>
      <c r="D5" s="15">
        <v>82</v>
      </c>
      <c r="E5" s="15">
        <v>144</v>
      </c>
      <c r="F5" s="15">
        <v>17</v>
      </c>
      <c r="G5" s="15">
        <v>25</v>
      </c>
      <c r="H5" s="15">
        <v>304</v>
      </c>
      <c r="I5" s="15">
        <v>506</v>
      </c>
      <c r="J5" s="15">
        <v>5</v>
      </c>
      <c r="K5" s="15">
        <v>2</v>
      </c>
      <c r="L5" s="15">
        <v>149</v>
      </c>
      <c r="M5" s="15">
        <v>5991</v>
      </c>
      <c r="N5" s="15">
        <v>562</v>
      </c>
      <c r="O5" s="15">
        <v>382</v>
      </c>
      <c r="P5" s="15">
        <v>165</v>
      </c>
      <c r="Q5" s="15">
        <v>12</v>
      </c>
      <c r="R5" s="15">
        <v>24</v>
      </c>
      <c r="S5" s="15">
        <v>135</v>
      </c>
      <c r="T5" s="15">
        <v>7</v>
      </c>
      <c r="U5" s="15">
        <v>14</v>
      </c>
      <c r="V5" s="15">
        <v>196</v>
      </c>
      <c r="W5" s="17">
        <f t="shared" ref="W5:W18" si="0">SUM(C5:V5)</f>
        <v>8999</v>
      </c>
      <c r="X5" s="13"/>
      <c r="Y5" s="13"/>
    </row>
    <row r="6" spans="1:25" ht="18" customHeight="1">
      <c r="A6" s="13"/>
      <c r="B6" s="14" t="s">
        <v>22</v>
      </c>
      <c r="C6" s="15">
        <v>246</v>
      </c>
      <c r="D6" s="15">
        <v>0</v>
      </c>
      <c r="E6" s="15">
        <v>23</v>
      </c>
      <c r="F6" s="15">
        <v>11</v>
      </c>
      <c r="G6" s="15">
        <v>15</v>
      </c>
      <c r="H6" s="15">
        <v>1</v>
      </c>
      <c r="I6" s="15">
        <v>7</v>
      </c>
      <c r="J6" s="15">
        <v>1</v>
      </c>
      <c r="K6" s="15">
        <v>2</v>
      </c>
      <c r="L6" s="15">
        <v>1</v>
      </c>
      <c r="M6" s="15">
        <v>5831</v>
      </c>
      <c r="N6" s="15">
        <v>51</v>
      </c>
      <c r="O6" s="15">
        <v>312</v>
      </c>
      <c r="P6" s="15">
        <v>68</v>
      </c>
      <c r="Q6" s="15">
        <v>7</v>
      </c>
      <c r="R6" s="15">
        <v>2</v>
      </c>
      <c r="S6" s="15">
        <v>58</v>
      </c>
      <c r="T6" s="15">
        <v>1</v>
      </c>
      <c r="U6" s="15">
        <v>13</v>
      </c>
      <c r="V6" s="15">
        <v>6</v>
      </c>
      <c r="W6" s="17">
        <f t="shared" si="0"/>
        <v>6656</v>
      </c>
      <c r="X6" s="13"/>
      <c r="Y6" s="13"/>
    </row>
    <row r="7" spans="1:25" ht="18" customHeight="1">
      <c r="A7" s="13"/>
      <c r="B7" s="14" t="s">
        <v>23</v>
      </c>
      <c r="C7" s="15">
        <v>31</v>
      </c>
      <c r="D7" s="15">
        <v>79</v>
      </c>
      <c r="E7" s="15">
        <v>119</v>
      </c>
      <c r="F7" s="15">
        <v>6</v>
      </c>
      <c r="G7" s="15">
        <v>10</v>
      </c>
      <c r="H7" s="15">
        <v>303</v>
      </c>
      <c r="I7" s="15">
        <v>480</v>
      </c>
      <c r="J7" s="15">
        <v>2</v>
      </c>
      <c r="K7" s="15">
        <v>0</v>
      </c>
      <c r="L7" s="15">
        <v>55</v>
      </c>
      <c r="M7" s="15">
        <v>3</v>
      </c>
      <c r="N7" s="15">
        <v>511</v>
      </c>
      <c r="O7" s="15">
        <v>3</v>
      </c>
      <c r="P7" s="15">
        <v>80</v>
      </c>
      <c r="Q7" s="15">
        <v>2</v>
      </c>
      <c r="R7" s="15">
        <v>22</v>
      </c>
      <c r="S7" s="15">
        <v>25</v>
      </c>
      <c r="T7" s="15">
        <v>4</v>
      </c>
      <c r="U7" s="15">
        <v>1</v>
      </c>
      <c r="V7" s="15">
        <v>190</v>
      </c>
      <c r="W7" s="17">
        <f t="shared" si="0"/>
        <v>1926</v>
      </c>
      <c r="X7" s="13"/>
      <c r="Y7" s="13"/>
    </row>
    <row r="8" spans="1:25" ht="18" customHeight="1">
      <c r="A8" s="13"/>
      <c r="B8" s="19" t="s">
        <v>24</v>
      </c>
      <c r="C8" s="20">
        <v>5</v>
      </c>
      <c r="D8" s="20">
        <v>67</v>
      </c>
      <c r="E8" s="20">
        <v>69</v>
      </c>
      <c r="F8" s="20">
        <v>3</v>
      </c>
      <c r="G8" s="20">
        <v>9</v>
      </c>
      <c r="H8" s="20">
        <v>32</v>
      </c>
      <c r="I8" s="20">
        <v>50</v>
      </c>
      <c r="J8" s="20">
        <v>3</v>
      </c>
      <c r="K8" s="20">
        <v>1</v>
      </c>
      <c r="L8" s="20">
        <v>40</v>
      </c>
      <c r="M8" s="20">
        <v>17</v>
      </c>
      <c r="N8" s="20">
        <v>25</v>
      </c>
      <c r="O8" s="20">
        <v>6</v>
      </c>
      <c r="P8" s="20">
        <v>68</v>
      </c>
      <c r="Q8" s="20">
        <v>4</v>
      </c>
      <c r="R8" s="20">
        <v>24</v>
      </c>
      <c r="S8" s="20">
        <v>22</v>
      </c>
      <c r="T8" s="20">
        <v>1</v>
      </c>
      <c r="U8" s="20">
        <v>8</v>
      </c>
      <c r="V8" s="20">
        <v>10</v>
      </c>
      <c r="W8" s="30">
        <f t="shared" si="0"/>
        <v>464</v>
      </c>
      <c r="X8" s="13"/>
      <c r="Y8" s="13"/>
    </row>
    <row r="9" spans="1:25" ht="18" customHeight="1">
      <c r="A9" s="21"/>
      <c r="B9" s="22" t="s">
        <v>25</v>
      </c>
      <c r="C9" s="23">
        <v>5</v>
      </c>
      <c r="D9" s="23">
        <v>67</v>
      </c>
      <c r="E9" s="23">
        <v>69</v>
      </c>
      <c r="F9" s="23">
        <v>3</v>
      </c>
      <c r="G9" s="23">
        <v>9</v>
      </c>
      <c r="H9" s="23">
        <v>32</v>
      </c>
      <c r="I9" s="23">
        <v>50</v>
      </c>
      <c r="J9" s="23">
        <v>3</v>
      </c>
      <c r="K9" s="23">
        <v>1</v>
      </c>
      <c r="L9" s="23">
        <v>40</v>
      </c>
      <c r="M9" s="23">
        <v>17</v>
      </c>
      <c r="N9" s="23">
        <v>26</v>
      </c>
      <c r="O9" s="23">
        <v>6</v>
      </c>
      <c r="P9" s="23">
        <v>68</v>
      </c>
      <c r="Q9" s="23">
        <v>4</v>
      </c>
      <c r="R9" s="23">
        <v>24</v>
      </c>
      <c r="S9" s="23">
        <v>10</v>
      </c>
      <c r="T9" s="23">
        <v>1</v>
      </c>
      <c r="U9" s="23">
        <v>8</v>
      </c>
      <c r="V9" s="23">
        <v>10</v>
      </c>
      <c r="W9" s="31">
        <f t="shared" si="0"/>
        <v>453</v>
      </c>
      <c r="X9" s="21"/>
      <c r="Y9" s="21"/>
    </row>
    <row r="10" spans="1:25" ht="18" customHeight="1">
      <c r="A10" s="21"/>
      <c r="B10" s="25" t="s">
        <v>26</v>
      </c>
      <c r="C10" s="26">
        <v>7</v>
      </c>
      <c r="D10" s="26">
        <v>127</v>
      </c>
      <c r="E10" s="26">
        <v>119</v>
      </c>
      <c r="F10" s="26">
        <v>5</v>
      </c>
      <c r="G10" s="26">
        <v>18</v>
      </c>
      <c r="H10" s="26">
        <v>59</v>
      </c>
      <c r="I10" s="26">
        <v>81</v>
      </c>
      <c r="J10" s="26">
        <v>5</v>
      </c>
      <c r="K10" s="26">
        <v>2</v>
      </c>
      <c r="L10" s="26">
        <v>40</v>
      </c>
      <c r="M10" s="26">
        <v>17</v>
      </c>
      <c r="N10" s="26">
        <v>48</v>
      </c>
      <c r="O10" s="26">
        <v>7</v>
      </c>
      <c r="P10" s="26">
        <v>115</v>
      </c>
      <c r="Q10" s="26">
        <v>4</v>
      </c>
      <c r="R10" s="26">
        <v>42</v>
      </c>
      <c r="S10" s="26">
        <v>32</v>
      </c>
      <c r="T10" s="26">
        <v>0</v>
      </c>
      <c r="U10" s="26">
        <v>8</v>
      </c>
      <c r="V10" s="26">
        <v>10</v>
      </c>
      <c r="W10" s="24">
        <f t="shared" si="0"/>
        <v>746</v>
      </c>
      <c r="X10" s="21"/>
      <c r="Y10" s="21"/>
    </row>
    <row r="11" spans="1:25" ht="18" customHeight="1">
      <c r="A11" s="21"/>
      <c r="B11" s="25" t="s">
        <v>27</v>
      </c>
      <c r="C11" s="26">
        <v>1</v>
      </c>
      <c r="D11" s="26">
        <v>45</v>
      </c>
      <c r="E11" s="26">
        <v>44</v>
      </c>
      <c r="F11" s="26">
        <v>0</v>
      </c>
      <c r="G11" s="26">
        <v>6</v>
      </c>
      <c r="H11" s="26">
        <v>47</v>
      </c>
      <c r="I11" s="26">
        <v>30</v>
      </c>
      <c r="J11" s="26">
        <v>2</v>
      </c>
      <c r="K11" s="26">
        <v>1</v>
      </c>
      <c r="L11" s="26">
        <v>0</v>
      </c>
      <c r="M11" s="26">
        <v>0</v>
      </c>
      <c r="N11" s="26">
        <v>26</v>
      </c>
      <c r="O11" s="26">
        <v>0</v>
      </c>
      <c r="P11" s="26">
        <v>34</v>
      </c>
      <c r="Q11" s="26">
        <v>4</v>
      </c>
      <c r="R11" s="26">
        <v>17</v>
      </c>
      <c r="S11" s="26">
        <v>8</v>
      </c>
      <c r="T11" s="26">
        <v>0</v>
      </c>
      <c r="U11" s="26">
        <v>7</v>
      </c>
      <c r="V11" s="26">
        <v>0</v>
      </c>
      <c r="W11" s="24">
        <f t="shared" si="0"/>
        <v>272</v>
      </c>
      <c r="X11" s="27">
        <f>PRODUCT(W11,100)/W10</f>
        <v>36.461126005361933</v>
      </c>
      <c r="Y11" s="18" t="s">
        <v>28</v>
      </c>
    </row>
    <row r="12" spans="1:25" ht="18" customHeight="1">
      <c r="A12" s="21"/>
      <c r="B12" s="25" t="s">
        <v>29</v>
      </c>
      <c r="C12" s="26">
        <v>4</v>
      </c>
      <c r="D12" s="26">
        <v>41</v>
      </c>
      <c r="E12" s="26">
        <v>48</v>
      </c>
      <c r="F12" s="26">
        <v>3</v>
      </c>
      <c r="G12" s="26">
        <v>4</v>
      </c>
      <c r="H12" s="26">
        <v>3</v>
      </c>
      <c r="I12" s="26">
        <v>44</v>
      </c>
      <c r="J12" s="26">
        <v>2</v>
      </c>
      <c r="K12" s="26">
        <v>0</v>
      </c>
      <c r="L12" s="26">
        <v>40</v>
      </c>
      <c r="M12" s="26">
        <v>17</v>
      </c>
      <c r="N12" s="26">
        <v>14</v>
      </c>
      <c r="O12" s="26">
        <v>6</v>
      </c>
      <c r="P12" s="26">
        <v>58</v>
      </c>
      <c r="Q12" s="26">
        <v>0</v>
      </c>
      <c r="R12" s="26">
        <v>22</v>
      </c>
      <c r="S12" s="26">
        <v>22</v>
      </c>
      <c r="T12" s="26">
        <v>0</v>
      </c>
      <c r="U12" s="26">
        <v>1</v>
      </c>
      <c r="V12" s="26">
        <v>10</v>
      </c>
      <c r="W12" s="24">
        <f t="shared" si="0"/>
        <v>339</v>
      </c>
      <c r="X12" s="27">
        <f>PRODUCT(W12,100)/W10</f>
        <v>45.442359249329762</v>
      </c>
      <c r="Y12" s="18" t="s">
        <v>28</v>
      </c>
    </row>
    <row r="13" spans="1:25" ht="18" customHeight="1">
      <c r="A13" s="21"/>
      <c r="B13" s="25" t="s">
        <v>30</v>
      </c>
      <c r="C13" s="26">
        <v>2</v>
      </c>
      <c r="D13" s="26">
        <v>41</v>
      </c>
      <c r="E13" s="26">
        <v>27</v>
      </c>
      <c r="F13" s="26">
        <v>2</v>
      </c>
      <c r="G13" s="26">
        <v>8</v>
      </c>
      <c r="H13" s="26">
        <v>9</v>
      </c>
      <c r="I13" s="26">
        <v>7</v>
      </c>
      <c r="J13" s="26">
        <v>1</v>
      </c>
      <c r="K13" s="26">
        <v>1</v>
      </c>
      <c r="L13" s="26">
        <v>0</v>
      </c>
      <c r="M13" s="26">
        <v>0</v>
      </c>
      <c r="N13" s="26">
        <v>8</v>
      </c>
      <c r="O13" s="26">
        <v>1</v>
      </c>
      <c r="P13" s="26">
        <v>23</v>
      </c>
      <c r="Q13" s="26">
        <v>0</v>
      </c>
      <c r="R13" s="26">
        <v>3</v>
      </c>
      <c r="S13" s="26">
        <v>2</v>
      </c>
      <c r="T13" s="26">
        <v>0</v>
      </c>
      <c r="U13" s="26">
        <v>0</v>
      </c>
      <c r="V13" s="26">
        <v>0</v>
      </c>
      <c r="W13" s="24">
        <f t="shared" si="0"/>
        <v>135</v>
      </c>
      <c r="X13" s="27">
        <f>PRODUCT(W13,100)/W10</f>
        <v>18.096514745308312</v>
      </c>
      <c r="Y13" s="18" t="s">
        <v>28</v>
      </c>
    </row>
    <row r="14" spans="1:25" ht="18" customHeight="1">
      <c r="A14" s="21"/>
      <c r="B14" s="25" t="s">
        <v>31</v>
      </c>
      <c r="C14" s="26">
        <v>4</v>
      </c>
      <c r="D14" s="26">
        <v>34</v>
      </c>
      <c r="E14" s="26">
        <v>30</v>
      </c>
      <c r="F14" s="26">
        <v>3</v>
      </c>
      <c r="G14" s="26">
        <v>4</v>
      </c>
      <c r="H14" s="26">
        <v>18</v>
      </c>
      <c r="I14" s="26">
        <v>36</v>
      </c>
      <c r="J14" s="26">
        <v>0</v>
      </c>
      <c r="K14" s="26">
        <v>0</v>
      </c>
      <c r="L14" s="26">
        <v>0</v>
      </c>
      <c r="M14" s="26">
        <v>0</v>
      </c>
      <c r="N14" s="26">
        <v>12</v>
      </c>
      <c r="O14" s="26">
        <v>6</v>
      </c>
      <c r="P14" s="26">
        <v>53</v>
      </c>
      <c r="Q14" s="26">
        <v>0</v>
      </c>
      <c r="R14" s="26">
        <v>21</v>
      </c>
      <c r="S14" s="26">
        <v>21</v>
      </c>
      <c r="T14" s="26">
        <v>0</v>
      </c>
      <c r="U14" s="26">
        <v>0</v>
      </c>
      <c r="V14" s="26">
        <v>0</v>
      </c>
      <c r="W14" s="24">
        <f t="shared" si="0"/>
        <v>242</v>
      </c>
      <c r="X14" s="27">
        <f>PRODUCT(W14,100)/W9</f>
        <v>53.421633554083883</v>
      </c>
      <c r="Y14" s="18" t="s">
        <v>28</v>
      </c>
    </row>
    <row r="15" spans="1:25" ht="18" customHeight="1">
      <c r="A15" s="21"/>
      <c r="B15" s="25" t="s">
        <v>32</v>
      </c>
      <c r="C15" s="26">
        <v>0</v>
      </c>
      <c r="D15" s="26">
        <v>2</v>
      </c>
      <c r="E15" s="26">
        <v>10</v>
      </c>
      <c r="F15" s="26">
        <v>0</v>
      </c>
      <c r="G15" s="26">
        <v>0</v>
      </c>
      <c r="H15" s="26">
        <v>10</v>
      </c>
      <c r="I15" s="26">
        <v>8</v>
      </c>
      <c r="J15" s="26">
        <v>0</v>
      </c>
      <c r="K15" s="26">
        <v>0</v>
      </c>
      <c r="L15" s="26">
        <v>0</v>
      </c>
      <c r="M15" s="26">
        <v>0</v>
      </c>
      <c r="N15" s="26">
        <v>2</v>
      </c>
      <c r="O15" s="26">
        <v>0</v>
      </c>
      <c r="P15" s="26">
        <v>0</v>
      </c>
      <c r="Q15" s="26">
        <v>0</v>
      </c>
      <c r="R15" s="26">
        <v>0</v>
      </c>
      <c r="S15" s="26">
        <v>0</v>
      </c>
      <c r="T15" s="26">
        <v>0</v>
      </c>
      <c r="U15" s="26">
        <v>0</v>
      </c>
      <c r="V15" s="26">
        <v>0</v>
      </c>
      <c r="W15" s="24">
        <f t="shared" si="0"/>
        <v>32</v>
      </c>
      <c r="X15" s="27">
        <f>PRODUCT(W15,100)/W9</f>
        <v>7.0640176600441498</v>
      </c>
      <c r="Y15" s="18" t="s">
        <v>28</v>
      </c>
    </row>
    <row r="16" spans="1:25" ht="18" customHeight="1">
      <c r="A16" s="21"/>
      <c r="B16" s="25" t="s">
        <v>33</v>
      </c>
      <c r="C16" s="26">
        <v>0</v>
      </c>
      <c r="D16" s="26">
        <v>1</v>
      </c>
      <c r="E16" s="26">
        <v>7</v>
      </c>
      <c r="F16" s="26">
        <v>0</v>
      </c>
      <c r="G16" s="26">
        <v>0</v>
      </c>
      <c r="H16" s="26">
        <v>7</v>
      </c>
      <c r="I16" s="26">
        <v>4</v>
      </c>
      <c r="J16" s="26">
        <v>1</v>
      </c>
      <c r="K16" s="26">
        <v>0</v>
      </c>
      <c r="L16" s="26">
        <v>0</v>
      </c>
      <c r="M16" s="26">
        <v>0</v>
      </c>
      <c r="N16" s="26">
        <v>3</v>
      </c>
      <c r="O16" s="26">
        <v>0</v>
      </c>
      <c r="P16" s="26">
        <v>1</v>
      </c>
      <c r="Q16" s="26">
        <v>4</v>
      </c>
      <c r="R16" s="26">
        <v>0</v>
      </c>
      <c r="S16" s="26">
        <v>2</v>
      </c>
      <c r="T16" s="26">
        <v>0</v>
      </c>
      <c r="U16" s="26">
        <v>0</v>
      </c>
      <c r="V16" s="26">
        <v>0</v>
      </c>
      <c r="W16" s="24">
        <f t="shared" si="0"/>
        <v>30</v>
      </c>
      <c r="X16" s="27">
        <f>PRODUCT(W16,100)/W9</f>
        <v>6.6225165562913908</v>
      </c>
      <c r="Y16" s="18" t="s">
        <v>28</v>
      </c>
    </row>
    <row r="17" spans="1:25" ht="18" customHeight="1">
      <c r="A17" s="21"/>
      <c r="B17" s="25" t="s">
        <v>34</v>
      </c>
      <c r="C17" s="26">
        <v>0</v>
      </c>
      <c r="D17" s="26">
        <v>2</v>
      </c>
      <c r="E17" s="26">
        <v>4</v>
      </c>
      <c r="F17" s="26">
        <v>0</v>
      </c>
      <c r="G17" s="26">
        <v>0</v>
      </c>
      <c r="H17" s="26">
        <v>3</v>
      </c>
      <c r="I17" s="26">
        <v>1</v>
      </c>
      <c r="J17" s="26">
        <v>0</v>
      </c>
      <c r="K17" s="26">
        <v>0</v>
      </c>
      <c r="L17" s="26">
        <v>0</v>
      </c>
      <c r="M17" s="26">
        <v>0</v>
      </c>
      <c r="N17" s="26">
        <v>1</v>
      </c>
      <c r="O17" s="26">
        <v>0</v>
      </c>
      <c r="P17" s="26">
        <v>1</v>
      </c>
      <c r="Q17" s="26">
        <v>0</v>
      </c>
      <c r="R17" s="26">
        <v>1</v>
      </c>
      <c r="S17" s="26">
        <v>0</v>
      </c>
      <c r="T17" s="26">
        <v>0</v>
      </c>
      <c r="U17" s="26">
        <v>0</v>
      </c>
      <c r="V17" s="26">
        <v>0</v>
      </c>
      <c r="W17" s="24">
        <f t="shared" si="0"/>
        <v>13</v>
      </c>
      <c r="X17" s="27">
        <f>PRODUCT(W17,100)/W9</f>
        <v>2.869757174392936</v>
      </c>
      <c r="Y17" s="18" t="s">
        <v>28</v>
      </c>
    </row>
    <row r="18" spans="1:25" ht="18" customHeight="1">
      <c r="A18" s="21"/>
      <c r="B18" s="25" t="s">
        <v>35</v>
      </c>
      <c r="C18" s="26">
        <v>1</v>
      </c>
      <c r="D18" s="26">
        <v>47</v>
      </c>
      <c r="E18" s="26">
        <v>42</v>
      </c>
      <c r="F18" s="26">
        <v>0</v>
      </c>
      <c r="G18" s="26">
        <v>6</v>
      </c>
      <c r="H18" s="26">
        <v>13</v>
      </c>
      <c r="I18" s="26">
        <v>1</v>
      </c>
      <c r="J18" s="26">
        <v>3</v>
      </c>
      <c r="K18" s="26">
        <v>1</v>
      </c>
      <c r="L18" s="26">
        <v>40</v>
      </c>
      <c r="M18" s="26">
        <v>17</v>
      </c>
      <c r="N18" s="26">
        <v>22</v>
      </c>
      <c r="O18" s="26">
        <v>0</v>
      </c>
      <c r="P18" s="26">
        <v>10</v>
      </c>
      <c r="Q18" s="26">
        <v>0</v>
      </c>
      <c r="R18" s="26">
        <v>17</v>
      </c>
      <c r="S18" s="26">
        <v>7</v>
      </c>
      <c r="T18" s="26">
        <v>1</v>
      </c>
      <c r="U18" s="26">
        <v>8</v>
      </c>
      <c r="V18" s="26">
        <v>10</v>
      </c>
      <c r="W18" s="24">
        <f t="shared" si="0"/>
        <v>246</v>
      </c>
      <c r="X18" s="27">
        <f>PRODUCT(W18,100)/W9</f>
        <v>54.304635761589402</v>
      </c>
      <c r="Y18" s="18" t="s">
        <v>28</v>
      </c>
    </row>
    <row r="19" spans="1:25" ht="18" customHeight="1">
      <c r="A19" s="1"/>
      <c r="B19" s="8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4"/>
      <c r="X19" s="1"/>
      <c r="Y19" s="1"/>
    </row>
    <row r="20" spans="1:25" ht="18" customHeight="1">
      <c r="A20" s="1"/>
      <c r="B20" s="8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4"/>
      <c r="X20" s="1"/>
      <c r="Y20" s="1"/>
    </row>
    <row r="21" spans="1:25" ht="18" customHeight="1">
      <c r="A21" s="1"/>
      <c r="B21" s="8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4"/>
      <c r="X21" s="1"/>
      <c r="Y21" s="1"/>
    </row>
    <row r="22" spans="1:25" ht="18" customHeight="1">
      <c r="A22" s="1"/>
      <c r="B22" s="8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4"/>
      <c r="X22" s="1"/>
      <c r="Y22" s="1"/>
    </row>
    <row r="23" spans="1:25" ht="18" customHeight="1">
      <c r="A23" s="1"/>
      <c r="B23" s="8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4"/>
      <c r="X23" s="1"/>
      <c r="Y23" s="1"/>
    </row>
    <row r="24" spans="1:25" ht="18" customHeight="1">
      <c r="A24" s="1"/>
      <c r="B24" s="8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4"/>
      <c r="X24" s="1"/>
      <c r="Y24" s="1"/>
    </row>
    <row r="25" spans="1:25" ht="18" customHeight="1">
      <c r="A25" s="1"/>
      <c r="B25" s="8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4"/>
      <c r="X25" s="1"/>
      <c r="Y25" s="1"/>
    </row>
    <row r="26" spans="1:25" ht="18" customHeight="1">
      <c r="A26" s="1"/>
      <c r="B26" s="8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4"/>
      <c r="X26" s="1"/>
      <c r="Y26" s="1"/>
    </row>
    <row r="27" spans="1:25" ht="18" customHeight="1">
      <c r="A27" s="1"/>
      <c r="B27" s="8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4"/>
      <c r="X27" s="1"/>
      <c r="Y27" s="1"/>
    </row>
    <row r="28" spans="1:25" ht="18" customHeight="1">
      <c r="A28" s="1"/>
      <c r="B28" s="8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4"/>
      <c r="X28" s="1"/>
      <c r="Y28" s="1"/>
    </row>
    <row r="29" spans="1:25" ht="18" customHeight="1">
      <c r="A29" s="1"/>
      <c r="B29" s="8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4"/>
      <c r="X29" s="1"/>
      <c r="Y29" s="1"/>
    </row>
    <row r="30" spans="1:25" ht="18" customHeight="1">
      <c r="A30" s="1"/>
      <c r="B30" s="8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4"/>
      <c r="X30" s="1"/>
      <c r="Y30" s="1"/>
    </row>
    <row r="31" spans="1:25" ht="18" customHeight="1">
      <c r="A31" s="1"/>
      <c r="B31" s="8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4"/>
      <c r="X31" s="1"/>
      <c r="Y31" s="1"/>
    </row>
    <row r="32" spans="1:25" ht="18" customHeight="1">
      <c r="A32" s="1"/>
      <c r="B32" s="8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4"/>
      <c r="X32" s="1"/>
      <c r="Y32" s="1"/>
    </row>
    <row r="33" spans="1:25" ht="18" customHeight="1">
      <c r="A33" s="1"/>
      <c r="B33" s="8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4"/>
      <c r="X33" s="1"/>
      <c r="Y33" s="1"/>
    </row>
    <row r="34" spans="1:25" ht="18" customHeight="1">
      <c r="A34" s="1"/>
      <c r="B34" s="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4"/>
      <c r="X34" s="1"/>
      <c r="Y34" s="1"/>
    </row>
    <row r="35" spans="1:25" ht="18" customHeight="1">
      <c r="A35" s="1"/>
      <c r="B35" s="8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4"/>
      <c r="X35" s="1"/>
      <c r="Y35" s="1"/>
    </row>
    <row r="36" spans="1:25" ht="18" customHeight="1">
      <c r="A36" s="1"/>
      <c r="B36" s="8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4"/>
      <c r="X36" s="1"/>
      <c r="Y36" s="1"/>
    </row>
    <row r="37" spans="1:25" ht="18" customHeight="1">
      <c r="A37" s="1"/>
      <c r="B37" s="8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4"/>
      <c r="X37" s="1"/>
      <c r="Y37" s="1"/>
    </row>
    <row r="38" spans="1:25" ht="18" customHeight="1">
      <c r="A38" s="1"/>
      <c r="B38" s="8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4"/>
      <c r="X38" s="1"/>
      <c r="Y38" s="1"/>
    </row>
    <row r="39" spans="1:25" ht="18" customHeight="1">
      <c r="A39" s="1"/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4"/>
      <c r="X39" s="1"/>
      <c r="Y39" s="1"/>
    </row>
    <row r="40" spans="1:25" ht="18" customHeight="1">
      <c r="A40" s="1"/>
      <c r="B40" s="8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4"/>
      <c r="X40" s="1"/>
      <c r="Y40" s="1"/>
    </row>
    <row r="41" spans="1:25" ht="18" customHeight="1">
      <c r="A41" s="1"/>
      <c r="B41" s="8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4"/>
      <c r="X41" s="1"/>
      <c r="Y41" s="1"/>
    </row>
    <row r="42" spans="1:25" ht="18" customHeight="1">
      <c r="A42" s="1"/>
      <c r="B42" s="8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4"/>
      <c r="X42" s="1"/>
      <c r="Y42" s="1"/>
    </row>
    <row r="43" spans="1:25" ht="18" customHeight="1">
      <c r="A43" s="1"/>
      <c r="B43" s="8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4"/>
      <c r="X43" s="1"/>
      <c r="Y43" s="1"/>
    </row>
    <row r="44" spans="1:25" ht="18" customHeight="1">
      <c r="A44" s="1"/>
      <c r="B44" s="8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4"/>
      <c r="X44" s="1"/>
      <c r="Y44" s="1"/>
    </row>
    <row r="45" spans="1:25" ht="18" customHeight="1">
      <c r="A45" s="1"/>
      <c r="B45" s="8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4"/>
      <c r="X45" s="1"/>
      <c r="Y45" s="1"/>
    </row>
    <row r="46" spans="1:25" ht="18" customHeight="1">
      <c r="A46" s="1"/>
      <c r="B46" s="8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4"/>
      <c r="X46" s="1"/>
      <c r="Y46" s="1"/>
    </row>
    <row r="47" spans="1:25" ht="18" customHeight="1">
      <c r="A47" s="1"/>
      <c r="B47" s="8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4"/>
      <c r="X47" s="1"/>
      <c r="Y47" s="1"/>
    </row>
    <row r="48" spans="1:25" ht="18" customHeight="1">
      <c r="A48" s="1"/>
      <c r="B48" s="8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4"/>
      <c r="X48" s="1"/>
      <c r="Y48" s="1"/>
    </row>
    <row r="49" spans="1:25" ht="18" customHeight="1">
      <c r="A49" s="1"/>
      <c r="B49" s="8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4"/>
      <c r="X49" s="1"/>
      <c r="Y49" s="1"/>
    </row>
    <row r="50" spans="1:25" ht="18" customHeight="1">
      <c r="A50" s="1"/>
      <c r="B50" s="8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4"/>
      <c r="X50" s="1"/>
      <c r="Y50" s="1"/>
    </row>
    <row r="51" spans="1:25" ht="18" customHeight="1">
      <c r="A51" s="1"/>
      <c r="B51" s="8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4"/>
      <c r="X51" s="1"/>
      <c r="Y51" s="1"/>
    </row>
    <row r="52" spans="1:25" ht="18" customHeight="1">
      <c r="A52" s="1"/>
      <c r="B52" s="8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4"/>
      <c r="X52" s="1"/>
      <c r="Y52" s="1"/>
    </row>
    <row r="53" spans="1:25" ht="18" customHeight="1">
      <c r="A53" s="1"/>
      <c r="B53" s="8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4"/>
      <c r="X53" s="1"/>
      <c r="Y53" s="1"/>
    </row>
    <row r="54" spans="1:25" ht="18" customHeight="1">
      <c r="A54" s="1"/>
      <c r="B54" s="8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4"/>
      <c r="X54" s="1"/>
      <c r="Y54" s="1"/>
    </row>
    <row r="55" spans="1:25" ht="18" customHeight="1">
      <c r="A55" s="1"/>
      <c r="B55" s="8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4"/>
      <c r="X55" s="1"/>
      <c r="Y55" s="1"/>
    </row>
    <row r="56" spans="1:25" ht="18" customHeight="1">
      <c r="A56" s="1"/>
      <c r="B56" s="8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4"/>
      <c r="X56" s="1"/>
      <c r="Y56" s="1"/>
    </row>
    <row r="57" spans="1:25" ht="18" customHeight="1">
      <c r="A57" s="1"/>
      <c r="B57" s="8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4"/>
      <c r="X57" s="1"/>
      <c r="Y57" s="1"/>
    </row>
    <row r="58" spans="1:25" ht="18" customHeight="1">
      <c r="A58" s="1"/>
      <c r="B58" s="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4"/>
      <c r="X58" s="1"/>
      <c r="Y58" s="1"/>
    </row>
    <row r="59" spans="1:25" ht="18" customHeight="1">
      <c r="A59" s="1"/>
      <c r="B59" s="8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4"/>
      <c r="X59" s="1"/>
      <c r="Y59" s="1"/>
    </row>
    <row r="60" spans="1:25" ht="18" customHeight="1">
      <c r="A60" s="1"/>
      <c r="B60" s="8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4"/>
      <c r="X60" s="1"/>
      <c r="Y60" s="1"/>
    </row>
    <row r="61" spans="1:25" ht="18" customHeight="1">
      <c r="A61" s="1"/>
      <c r="B61" s="8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4"/>
      <c r="X61" s="1"/>
      <c r="Y61" s="1"/>
    </row>
    <row r="62" spans="1:25" ht="18" customHeight="1">
      <c r="A62" s="1"/>
      <c r="B62" s="8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4"/>
      <c r="X62" s="1"/>
      <c r="Y62" s="1"/>
    </row>
    <row r="63" spans="1:25" ht="18" customHeight="1">
      <c r="A63" s="1"/>
      <c r="B63" s="8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4"/>
      <c r="X63" s="1"/>
      <c r="Y63" s="1"/>
    </row>
    <row r="64" spans="1:25" ht="18" customHeight="1">
      <c r="A64" s="1"/>
      <c r="B64" s="8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4"/>
      <c r="X64" s="1"/>
      <c r="Y64" s="1"/>
    </row>
    <row r="65" spans="1:25" ht="18" customHeight="1">
      <c r="A65" s="1"/>
      <c r="B65" s="8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4"/>
      <c r="X65" s="1"/>
      <c r="Y65" s="1"/>
    </row>
    <row r="66" spans="1:25" ht="18" customHeight="1">
      <c r="A66" s="1"/>
      <c r="B66" s="8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4"/>
      <c r="X66" s="1"/>
      <c r="Y66" s="1"/>
    </row>
    <row r="67" spans="1:25" ht="18" customHeight="1">
      <c r="A67" s="1"/>
      <c r="B67" s="8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4"/>
      <c r="X67" s="1"/>
      <c r="Y67" s="1"/>
    </row>
    <row r="68" spans="1:25" ht="18" customHeight="1">
      <c r="A68" s="1"/>
      <c r="B68" s="8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4"/>
      <c r="X68" s="1"/>
      <c r="Y68" s="1"/>
    </row>
    <row r="69" spans="1:25" ht="18" customHeight="1">
      <c r="A69" s="1"/>
      <c r="B69" s="8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4"/>
      <c r="X69" s="1"/>
      <c r="Y69" s="1"/>
    </row>
    <row r="70" spans="1:25" ht="18" customHeight="1">
      <c r="A70" s="1"/>
      <c r="B70" s="8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4"/>
      <c r="X70" s="1"/>
      <c r="Y70" s="1"/>
    </row>
    <row r="71" spans="1:25" ht="18" customHeight="1">
      <c r="A71" s="1"/>
      <c r="B71" s="8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4"/>
      <c r="X71" s="1"/>
      <c r="Y71" s="1"/>
    </row>
    <row r="72" spans="1:25" ht="18" customHeight="1">
      <c r="A72" s="1"/>
      <c r="B72" s="8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4"/>
      <c r="X72" s="1"/>
      <c r="Y72" s="1"/>
    </row>
    <row r="73" spans="1:25" ht="18" customHeight="1">
      <c r="A73" s="1"/>
      <c r="B73" s="8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4"/>
      <c r="X73" s="1"/>
      <c r="Y73" s="1"/>
    </row>
    <row r="74" spans="1:25" ht="18" customHeight="1">
      <c r="A74" s="1"/>
      <c r="B74" s="8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4"/>
      <c r="X74" s="1"/>
      <c r="Y74" s="1"/>
    </row>
    <row r="75" spans="1:25" ht="18" customHeight="1">
      <c r="A75" s="1"/>
      <c r="B75" s="8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4"/>
      <c r="X75" s="1"/>
      <c r="Y75" s="1"/>
    </row>
    <row r="76" spans="1:25" ht="18" customHeight="1">
      <c r="A76" s="1"/>
      <c r="B76" s="8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4"/>
      <c r="X76" s="1"/>
      <c r="Y76" s="1"/>
    </row>
    <row r="77" spans="1:25" ht="18" customHeight="1">
      <c r="A77" s="1"/>
      <c r="B77" s="8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4"/>
      <c r="X77" s="1"/>
      <c r="Y77" s="1"/>
    </row>
    <row r="78" spans="1:25" ht="18" customHeight="1">
      <c r="A78" s="1"/>
      <c r="B78" s="8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4"/>
      <c r="X78" s="1"/>
      <c r="Y78" s="1"/>
    </row>
    <row r="79" spans="1:25" ht="18" customHeight="1">
      <c r="A79" s="1"/>
      <c r="B79" s="8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4"/>
      <c r="X79" s="1"/>
      <c r="Y79" s="1"/>
    </row>
    <row r="80" spans="1:25" ht="18" customHeight="1">
      <c r="A80" s="1"/>
      <c r="B80" s="8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4"/>
      <c r="X80" s="1"/>
      <c r="Y80" s="1"/>
    </row>
    <row r="81" spans="1:25" ht="18" customHeight="1">
      <c r="A81" s="1"/>
      <c r="B81" s="8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4"/>
      <c r="X81" s="1"/>
      <c r="Y81" s="1"/>
    </row>
    <row r="82" spans="1:25" ht="18" customHeight="1">
      <c r="A82" s="1"/>
      <c r="B82" s="8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4"/>
      <c r="X82" s="1"/>
      <c r="Y82" s="1"/>
    </row>
    <row r="83" spans="1:25" ht="18" customHeight="1">
      <c r="A83" s="1"/>
      <c r="B83" s="8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4"/>
      <c r="X83" s="1"/>
      <c r="Y83" s="1"/>
    </row>
    <row r="84" spans="1:25" ht="18" customHeight="1">
      <c r="A84" s="1"/>
      <c r="B84" s="8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4"/>
      <c r="X84" s="1"/>
      <c r="Y84" s="1"/>
    </row>
    <row r="85" spans="1:25" ht="18" customHeight="1">
      <c r="A85" s="1"/>
      <c r="B85" s="8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4"/>
      <c r="X85" s="1"/>
      <c r="Y85" s="1"/>
    </row>
    <row r="86" spans="1:25" ht="18" customHeight="1">
      <c r="A86" s="1"/>
      <c r="B86" s="8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4"/>
      <c r="X86" s="1"/>
      <c r="Y86" s="1"/>
    </row>
    <row r="87" spans="1:25" ht="18" customHeight="1">
      <c r="A87" s="1"/>
      <c r="B87" s="8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4"/>
      <c r="X87" s="1"/>
      <c r="Y87" s="1"/>
    </row>
    <row r="88" spans="1:25" ht="18" customHeight="1">
      <c r="A88" s="1"/>
      <c r="B88" s="8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4"/>
      <c r="X88" s="1"/>
      <c r="Y88" s="1"/>
    </row>
    <row r="89" spans="1:25" ht="18" customHeight="1">
      <c r="A89" s="1"/>
      <c r="B89" s="8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4"/>
      <c r="X89" s="1"/>
      <c r="Y89" s="1"/>
    </row>
    <row r="90" spans="1:25" ht="18" customHeight="1">
      <c r="A90" s="1"/>
      <c r="B90" s="8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4"/>
      <c r="X90" s="1"/>
      <c r="Y90" s="1"/>
    </row>
    <row r="91" spans="1:25" ht="18" customHeight="1">
      <c r="A91" s="1"/>
      <c r="B91" s="8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4"/>
      <c r="X91" s="1"/>
      <c r="Y91" s="1"/>
    </row>
    <row r="92" spans="1:25" ht="18" customHeight="1">
      <c r="A92" s="1"/>
      <c r="B92" s="8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4"/>
      <c r="X92" s="1"/>
      <c r="Y92" s="1"/>
    </row>
    <row r="93" spans="1:25" ht="18" customHeight="1">
      <c r="A93" s="1"/>
      <c r="B93" s="8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4"/>
      <c r="X93" s="1"/>
      <c r="Y93" s="1"/>
    </row>
    <row r="94" spans="1:25" ht="18" customHeight="1">
      <c r="A94" s="1"/>
      <c r="B94" s="8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4"/>
      <c r="X94" s="1"/>
      <c r="Y94" s="1"/>
    </row>
    <row r="95" spans="1:25" ht="18" customHeight="1">
      <c r="A95" s="1"/>
      <c r="B95" s="8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4"/>
      <c r="X95" s="1"/>
      <c r="Y95" s="1"/>
    </row>
    <row r="96" spans="1:25" ht="18" customHeight="1">
      <c r="A96" s="1"/>
      <c r="B96" s="8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4"/>
      <c r="X96" s="1"/>
      <c r="Y96" s="1"/>
    </row>
    <row r="97" spans="1:25" ht="18" customHeight="1">
      <c r="A97" s="1"/>
      <c r="B97" s="8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4"/>
      <c r="X97" s="1"/>
      <c r="Y97" s="1"/>
    </row>
    <row r="98" spans="1:25" ht="18" customHeight="1">
      <c r="A98" s="1"/>
      <c r="B98" s="8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4"/>
      <c r="X98" s="1"/>
      <c r="Y98" s="1"/>
    </row>
    <row r="99" spans="1:25" ht="18" customHeight="1">
      <c r="A99" s="1"/>
      <c r="B99" s="8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4"/>
      <c r="X99" s="1"/>
      <c r="Y99" s="1"/>
    </row>
    <row r="100" spans="1:25" ht="18" customHeight="1">
      <c r="A100" s="1"/>
      <c r="B100" s="8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4"/>
      <c r="X100" s="1"/>
      <c r="Y100" s="1"/>
    </row>
  </sheetData>
  <conditionalFormatting sqref="C5:V18">
    <cfRule type="cellIs" dxfId="6" priority="1" operator="equal">
      <formula>0</formula>
    </cfRule>
  </conditionalFormatting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8F6F4"/>
  </sheetPr>
  <dimension ref="A1:AG10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Q12" sqref="Q12"/>
    </sheetView>
  </sheetViews>
  <sheetFormatPr baseColWidth="10" defaultColWidth="11.140625" defaultRowHeight="15" customHeight="1"/>
  <cols>
    <col min="1" max="1" width="3.28515625" customWidth="1"/>
    <col min="2" max="2" width="24.140625" customWidth="1"/>
    <col min="3" max="3" width="4.7109375" bestFit="1" customWidth="1"/>
    <col min="4" max="6" width="3.7109375" customWidth="1"/>
    <col min="7" max="7" width="9.140625" bestFit="1" customWidth="1"/>
    <col min="8" max="9" width="3.7109375" customWidth="1"/>
    <col min="10" max="10" width="5.5703125" bestFit="1" customWidth="1"/>
    <col min="11" max="16" width="3.7109375" customWidth="1"/>
    <col min="17" max="17" width="5.5703125" bestFit="1" customWidth="1"/>
    <col min="18" max="22" width="3.7109375" customWidth="1"/>
    <col min="23" max="23" width="7.5703125" bestFit="1" customWidth="1"/>
    <col min="24" max="24" width="3.7109375" customWidth="1"/>
    <col min="25" max="25" width="7.5703125" bestFit="1" customWidth="1"/>
    <col min="26" max="29" width="3.7109375" customWidth="1"/>
    <col min="30" max="30" width="13.7109375" bestFit="1" customWidth="1"/>
    <col min="31" max="31" width="9" bestFit="1" customWidth="1"/>
    <col min="32" max="32" width="2.7109375" customWidth="1"/>
    <col min="33" max="33" width="24.28515625" customWidth="1"/>
  </cols>
  <sheetData>
    <row r="1" spans="1:33" ht="18" customHeight="1">
      <c r="A1" s="1"/>
      <c r="B1" s="34">
        <v>2025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4"/>
      <c r="AE1" s="1"/>
      <c r="AF1" s="1"/>
      <c r="AG1" s="1"/>
    </row>
    <row r="2" spans="1:33" ht="18" customHeight="1">
      <c r="A2" s="1"/>
      <c r="B2" s="6" t="s">
        <v>0</v>
      </c>
      <c r="C2" s="7">
        <f>COUNT(C5:AC5)</f>
        <v>27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4"/>
      <c r="AE2" s="1"/>
      <c r="AF2" s="1"/>
      <c r="AG2" s="1"/>
    </row>
    <row r="3" spans="1:33" ht="18" customHeight="1">
      <c r="A3" s="1"/>
      <c r="B3" s="8"/>
      <c r="C3" s="35" t="s">
        <v>85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4"/>
      <c r="AE3" s="1"/>
      <c r="AF3" s="1"/>
      <c r="AG3" s="1"/>
    </row>
    <row r="4" spans="1:33" ht="18" customHeight="1">
      <c r="A4" s="9"/>
      <c r="B4" s="8"/>
      <c r="C4" s="36" t="s">
        <v>86</v>
      </c>
      <c r="D4" s="36" t="s">
        <v>87</v>
      </c>
      <c r="E4" s="36" t="s">
        <v>88</v>
      </c>
      <c r="F4" s="36" t="s">
        <v>89</v>
      </c>
      <c r="G4" s="36" t="s">
        <v>90</v>
      </c>
      <c r="H4" s="36" t="s">
        <v>91</v>
      </c>
      <c r="I4" s="36" t="s">
        <v>92</v>
      </c>
      <c r="J4" s="36" t="s">
        <v>93</v>
      </c>
      <c r="K4" s="36" t="s">
        <v>94</v>
      </c>
      <c r="L4" s="36" t="s">
        <v>95</v>
      </c>
      <c r="M4" s="36" t="s">
        <v>96</v>
      </c>
      <c r="N4" s="36" t="s">
        <v>97</v>
      </c>
      <c r="O4" s="36" t="s">
        <v>98</v>
      </c>
      <c r="P4" s="36" t="s">
        <v>99</v>
      </c>
      <c r="Q4" s="36" t="s">
        <v>100</v>
      </c>
      <c r="R4" s="36" t="s">
        <v>101</v>
      </c>
      <c r="S4" s="36" t="s">
        <v>102</v>
      </c>
      <c r="T4" s="36" t="s">
        <v>103</v>
      </c>
      <c r="U4" s="36" t="s">
        <v>104</v>
      </c>
      <c r="V4" s="36" t="s">
        <v>105</v>
      </c>
      <c r="W4" s="36" t="s">
        <v>106</v>
      </c>
      <c r="X4" s="36" t="s">
        <v>107</v>
      </c>
      <c r="Y4" s="36" t="s">
        <v>108</v>
      </c>
      <c r="Z4" s="36" t="s">
        <v>109</v>
      </c>
      <c r="AA4" s="36" t="s">
        <v>110</v>
      </c>
      <c r="AB4" s="36" t="s">
        <v>111</v>
      </c>
      <c r="AC4" s="36" t="s">
        <v>112</v>
      </c>
      <c r="AD4" s="11" t="s">
        <v>20</v>
      </c>
      <c r="AE4" s="9"/>
      <c r="AF4" s="9"/>
      <c r="AG4" s="9"/>
    </row>
    <row r="5" spans="1:33" ht="18" customHeight="1">
      <c r="A5" s="13"/>
      <c r="B5" s="14" t="s">
        <v>21</v>
      </c>
      <c r="C5" s="15">
        <v>1</v>
      </c>
      <c r="D5" s="15">
        <v>22</v>
      </c>
      <c r="E5" s="15">
        <v>67</v>
      </c>
      <c r="F5" s="15">
        <v>878</v>
      </c>
      <c r="G5" s="15">
        <v>1862222</v>
      </c>
      <c r="H5" s="15">
        <v>16</v>
      </c>
      <c r="I5" s="15">
        <v>117</v>
      </c>
      <c r="J5" s="15">
        <v>1252</v>
      </c>
      <c r="K5" s="15">
        <v>272</v>
      </c>
      <c r="L5" s="15">
        <v>16</v>
      </c>
      <c r="M5" s="15">
        <v>4</v>
      </c>
      <c r="N5" s="15">
        <v>415</v>
      </c>
      <c r="O5" s="15">
        <v>26</v>
      </c>
      <c r="P5" s="15">
        <v>27</v>
      </c>
      <c r="Q5" s="15">
        <v>2525</v>
      </c>
      <c r="R5" s="15">
        <v>49</v>
      </c>
      <c r="S5" s="15">
        <v>133</v>
      </c>
      <c r="T5" s="15">
        <v>20</v>
      </c>
      <c r="U5" s="15">
        <v>16</v>
      </c>
      <c r="V5" s="15">
        <v>0</v>
      </c>
      <c r="W5" s="15">
        <v>198729</v>
      </c>
      <c r="X5" s="15">
        <v>16</v>
      </c>
      <c r="Y5" s="15">
        <v>100936</v>
      </c>
      <c r="Z5" s="15">
        <v>115</v>
      </c>
      <c r="AA5" s="15">
        <v>93</v>
      </c>
      <c r="AB5" s="15">
        <v>148</v>
      </c>
      <c r="AC5" s="15">
        <v>7</v>
      </c>
      <c r="AD5" s="17">
        <f t="shared" ref="AD5:AD18" si="0">SUM(C5:AC5)</f>
        <v>2168122</v>
      </c>
      <c r="AE5" s="13"/>
      <c r="AF5" s="13"/>
      <c r="AG5" s="13"/>
    </row>
    <row r="6" spans="1:33" ht="18" customHeight="1">
      <c r="A6" s="13"/>
      <c r="B6" s="14" t="s">
        <v>22</v>
      </c>
      <c r="C6" s="15">
        <v>1</v>
      </c>
      <c r="D6" s="15">
        <v>14</v>
      </c>
      <c r="E6" s="15">
        <v>58</v>
      </c>
      <c r="F6" s="15">
        <v>783</v>
      </c>
      <c r="G6" s="15">
        <v>12</v>
      </c>
      <c r="H6" s="15">
        <v>9</v>
      </c>
      <c r="I6" s="15">
        <v>10</v>
      </c>
      <c r="J6" s="15">
        <v>1061</v>
      </c>
      <c r="K6" s="15">
        <v>86</v>
      </c>
      <c r="L6" s="15">
        <v>4</v>
      </c>
      <c r="M6" s="15">
        <v>4</v>
      </c>
      <c r="N6" s="15">
        <v>358</v>
      </c>
      <c r="O6" s="15">
        <v>12</v>
      </c>
      <c r="P6" s="15">
        <v>8</v>
      </c>
      <c r="Q6" s="15">
        <v>1588</v>
      </c>
      <c r="R6" s="15">
        <v>26</v>
      </c>
      <c r="S6" s="15">
        <v>62</v>
      </c>
      <c r="T6" s="15">
        <v>4</v>
      </c>
      <c r="U6" s="15">
        <v>9</v>
      </c>
      <c r="V6" s="15">
        <v>3</v>
      </c>
      <c r="W6" s="15">
        <v>163805</v>
      </c>
      <c r="X6" s="15">
        <v>9</v>
      </c>
      <c r="Y6" s="15">
        <v>92068</v>
      </c>
      <c r="Z6" s="15">
        <v>29</v>
      </c>
      <c r="AA6" s="15">
        <v>3</v>
      </c>
      <c r="AB6" s="15">
        <v>122</v>
      </c>
      <c r="AC6" s="15">
        <v>2</v>
      </c>
      <c r="AD6" s="17">
        <f t="shared" si="0"/>
        <v>260150</v>
      </c>
      <c r="AE6" s="13"/>
      <c r="AF6" s="13"/>
      <c r="AG6" s="13"/>
    </row>
    <row r="7" spans="1:33" ht="18" customHeight="1">
      <c r="A7" s="13"/>
      <c r="B7" s="14" t="s">
        <v>23</v>
      </c>
      <c r="C7" s="15">
        <v>0</v>
      </c>
      <c r="D7" s="15">
        <v>4</v>
      </c>
      <c r="E7" s="15">
        <v>1</v>
      </c>
      <c r="F7" s="15">
        <v>80</v>
      </c>
      <c r="G7" s="15">
        <v>14</v>
      </c>
      <c r="H7" s="15">
        <v>3</v>
      </c>
      <c r="I7" s="15">
        <v>1</v>
      </c>
      <c r="J7" s="15">
        <v>2</v>
      </c>
      <c r="K7" s="15">
        <v>182</v>
      </c>
      <c r="L7" s="15">
        <v>11</v>
      </c>
      <c r="M7" s="15">
        <v>0</v>
      </c>
      <c r="N7" s="15">
        <v>49</v>
      </c>
      <c r="O7" s="15">
        <v>14</v>
      </c>
      <c r="P7" s="15">
        <v>16</v>
      </c>
      <c r="Q7" s="15">
        <v>254</v>
      </c>
      <c r="R7" s="15">
        <v>8</v>
      </c>
      <c r="S7" s="15">
        <v>66</v>
      </c>
      <c r="T7" s="15">
        <v>13</v>
      </c>
      <c r="U7" s="15">
        <v>5</v>
      </c>
      <c r="V7" s="15">
        <v>0</v>
      </c>
      <c r="W7" s="15">
        <v>9129</v>
      </c>
      <c r="X7" s="15">
        <v>7</v>
      </c>
      <c r="Y7" s="15">
        <v>1702</v>
      </c>
      <c r="Z7" s="15">
        <v>83</v>
      </c>
      <c r="AA7" s="15">
        <v>0</v>
      </c>
      <c r="AB7" s="15">
        <v>11</v>
      </c>
      <c r="AC7" s="15">
        <v>4</v>
      </c>
      <c r="AD7" s="17">
        <f t="shared" si="0"/>
        <v>11659</v>
      </c>
      <c r="AE7" s="13"/>
      <c r="AF7" s="13"/>
      <c r="AG7" s="13"/>
    </row>
    <row r="8" spans="1:33" ht="18" customHeight="1">
      <c r="A8" s="13"/>
      <c r="B8" s="19" t="s">
        <v>24</v>
      </c>
      <c r="C8" s="20">
        <v>1</v>
      </c>
      <c r="D8" s="20">
        <v>4</v>
      </c>
      <c r="E8" s="20">
        <v>16</v>
      </c>
      <c r="F8" s="20">
        <v>25</v>
      </c>
      <c r="G8" s="20">
        <v>12</v>
      </c>
      <c r="H8" s="20">
        <v>5</v>
      </c>
      <c r="I8" s="20">
        <v>3</v>
      </c>
      <c r="J8" s="20">
        <v>7</v>
      </c>
      <c r="K8" s="20">
        <v>21</v>
      </c>
      <c r="L8" s="20">
        <v>10</v>
      </c>
      <c r="M8" s="20">
        <v>4</v>
      </c>
      <c r="N8" s="20">
        <v>41</v>
      </c>
      <c r="O8" s="20">
        <v>26</v>
      </c>
      <c r="P8" s="20">
        <v>11</v>
      </c>
      <c r="Q8" s="20">
        <v>6</v>
      </c>
      <c r="R8" s="20">
        <v>13</v>
      </c>
      <c r="S8" s="20">
        <v>20</v>
      </c>
      <c r="T8" s="20">
        <v>9</v>
      </c>
      <c r="U8" s="20">
        <v>6</v>
      </c>
      <c r="V8" s="20">
        <v>3</v>
      </c>
      <c r="W8" s="20">
        <v>10</v>
      </c>
      <c r="X8" s="20">
        <v>3</v>
      </c>
      <c r="Y8" s="20">
        <v>11</v>
      </c>
      <c r="Z8" s="20">
        <v>32</v>
      </c>
      <c r="AA8" s="20">
        <v>2</v>
      </c>
      <c r="AB8" s="20">
        <v>27</v>
      </c>
      <c r="AC8" s="20">
        <v>4</v>
      </c>
      <c r="AD8" s="30">
        <f t="shared" si="0"/>
        <v>332</v>
      </c>
      <c r="AE8" s="13"/>
      <c r="AF8" s="13"/>
      <c r="AG8" s="13"/>
    </row>
    <row r="9" spans="1:33" ht="18" customHeight="1">
      <c r="A9" s="21"/>
      <c r="B9" s="22" t="s">
        <v>25</v>
      </c>
      <c r="C9" s="23">
        <v>1</v>
      </c>
      <c r="D9" s="23">
        <v>4</v>
      </c>
      <c r="E9" s="23">
        <v>16</v>
      </c>
      <c r="F9" s="23">
        <v>25</v>
      </c>
      <c r="G9" s="23">
        <v>26</v>
      </c>
      <c r="H9" s="23">
        <v>5</v>
      </c>
      <c r="I9" s="23">
        <v>3</v>
      </c>
      <c r="J9" s="23">
        <v>7</v>
      </c>
      <c r="K9" s="23">
        <v>21</v>
      </c>
      <c r="L9" s="23">
        <v>10</v>
      </c>
      <c r="M9" s="23">
        <v>1</v>
      </c>
      <c r="N9" s="23">
        <v>41</v>
      </c>
      <c r="O9" s="23">
        <v>26</v>
      </c>
      <c r="P9" s="23">
        <v>11</v>
      </c>
      <c r="Q9" s="23">
        <v>6</v>
      </c>
      <c r="R9" s="23">
        <v>13</v>
      </c>
      <c r="S9" s="23">
        <v>20</v>
      </c>
      <c r="T9" s="23">
        <v>9</v>
      </c>
      <c r="U9" s="23">
        <v>6</v>
      </c>
      <c r="V9" s="23">
        <v>3</v>
      </c>
      <c r="W9" s="23">
        <v>10</v>
      </c>
      <c r="X9" s="23">
        <v>3</v>
      </c>
      <c r="Y9" s="23">
        <v>11</v>
      </c>
      <c r="Z9" s="23">
        <v>32</v>
      </c>
      <c r="AA9" s="23">
        <v>2</v>
      </c>
      <c r="AB9" s="23">
        <v>23</v>
      </c>
      <c r="AC9" s="23">
        <v>4</v>
      </c>
      <c r="AD9" s="31">
        <f t="shared" si="0"/>
        <v>339</v>
      </c>
      <c r="AE9" s="21"/>
      <c r="AF9" s="21"/>
      <c r="AG9" s="21"/>
    </row>
    <row r="10" spans="1:33" ht="18" customHeight="1">
      <c r="A10" s="21"/>
      <c r="B10" s="25" t="s">
        <v>26</v>
      </c>
      <c r="C10" s="26">
        <v>4</v>
      </c>
      <c r="D10" s="26">
        <v>7</v>
      </c>
      <c r="E10" s="26">
        <v>22</v>
      </c>
      <c r="F10" s="26">
        <v>42</v>
      </c>
      <c r="G10" s="26">
        <v>39</v>
      </c>
      <c r="H10" s="26">
        <v>8</v>
      </c>
      <c r="I10" s="26">
        <v>4</v>
      </c>
      <c r="J10" s="26">
        <v>10</v>
      </c>
      <c r="K10" s="26">
        <v>42</v>
      </c>
      <c r="L10" s="26">
        <v>17</v>
      </c>
      <c r="M10" s="26">
        <v>2</v>
      </c>
      <c r="N10" s="26">
        <v>59</v>
      </c>
      <c r="O10" s="26">
        <v>39</v>
      </c>
      <c r="P10" s="26">
        <v>21</v>
      </c>
      <c r="Q10" s="26">
        <v>10</v>
      </c>
      <c r="R10" s="26">
        <v>23</v>
      </c>
      <c r="S10" s="26">
        <v>39</v>
      </c>
      <c r="T10" s="26">
        <v>18</v>
      </c>
      <c r="U10" s="26">
        <v>10</v>
      </c>
      <c r="V10" s="26">
        <v>6</v>
      </c>
      <c r="W10" s="26">
        <v>11</v>
      </c>
      <c r="X10" s="26">
        <v>5</v>
      </c>
      <c r="Y10" s="26">
        <v>12</v>
      </c>
      <c r="Z10" s="26">
        <v>54</v>
      </c>
      <c r="AA10" s="26">
        <v>2</v>
      </c>
      <c r="AB10" s="26">
        <v>37</v>
      </c>
      <c r="AC10" s="26">
        <v>8</v>
      </c>
      <c r="AD10" s="24">
        <f t="shared" si="0"/>
        <v>551</v>
      </c>
      <c r="AE10" s="21"/>
      <c r="AF10" s="21"/>
      <c r="AG10" s="21"/>
    </row>
    <row r="11" spans="1:33" ht="18" customHeight="1">
      <c r="A11" s="21"/>
      <c r="B11" s="25" t="s">
        <v>27</v>
      </c>
      <c r="C11" s="26">
        <v>1</v>
      </c>
      <c r="D11" s="26">
        <v>2</v>
      </c>
      <c r="E11" s="26">
        <v>1</v>
      </c>
      <c r="F11" s="26">
        <v>18</v>
      </c>
      <c r="G11" s="26">
        <v>10</v>
      </c>
      <c r="H11" s="26">
        <v>5</v>
      </c>
      <c r="I11" s="26">
        <v>3</v>
      </c>
      <c r="J11" s="26">
        <v>2</v>
      </c>
      <c r="K11" s="26">
        <v>24</v>
      </c>
      <c r="L11" s="26">
        <v>5</v>
      </c>
      <c r="M11" s="26">
        <v>1</v>
      </c>
      <c r="N11" s="26">
        <v>13</v>
      </c>
      <c r="O11" s="26">
        <v>10</v>
      </c>
      <c r="P11" s="26">
        <v>10</v>
      </c>
      <c r="Q11" s="26">
        <v>2</v>
      </c>
      <c r="R11" s="26">
        <v>10</v>
      </c>
      <c r="S11" s="26">
        <v>31</v>
      </c>
      <c r="T11" s="26">
        <v>7</v>
      </c>
      <c r="U11" s="26">
        <v>3</v>
      </c>
      <c r="V11" s="26">
        <v>2</v>
      </c>
      <c r="W11" s="26">
        <v>3</v>
      </c>
      <c r="X11" s="26">
        <v>2</v>
      </c>
      <c r="Y11" s="26">
        <v>2</v>
      </c>
      <c r="Z11" s="26">
        <v>42</v>
      </c>
      <c r="AA11" s="26">
        <v>2</v>
      </c>
      <c r="AB11" s="26">
        <v>8</v>
      </c>
      <c r="AC11" s="26">
        <v>3</v>
      </c>
      <c r="AD11" s="24">
        <f t="shared" si="0"/>
        <v>222</v>
      </c>
      <c r="AE11" s="37">
        <f>PRODUCT(AD11,100)/AD10</f>
        <v>40.290381125226858</v>
      </c>
      <c r="AF11" s="21" t="s">
        <v>28</v>
      </c>
      <c r="AG11" s="38" t="s">
        <v>27</v>
      </c>
    </row>
    <row r="12" spans="1:33" ht="18" customHeight="1">
      <c r="A12" s="21"/>
      <c r="B12" s="25" t="s">
        <v>29</v>
      </c>
      <c r="C12" s="26">
        <v>0</v>
      </c>
      <c r="D12" s="26">
        <v>2</v>
      </c>
      <c r="E12" s="26">
        <v>20</v>
      </c>
      <c r="F12" s="26">
        <v>19</v>
      </c>
      <c r="G12" s="26">
        <v>26</v>
      </c>
      <c r="H12" s="26">
        <v>0</v>
      </c>
      <c r="I12" s="26">
        <v>0</v>
      </c>
      <c r="J12" s="26">
        <v>7</v>
      </c>
      <c r="K12" s="26">
        <v>14</v>
      </c>
      <c r="L12" s="26">
        <v>8</v>
      </c>
      <c r="M12" s="26">
        <v>1</v>
      </c>
      <c r="N12" s="26">
        <v>43</v>
      </c>
      <c r="O12" s="26">
        <v>26</v>
      </c>
      <c r="P12" s="26">
        <v>7</v>
      </c>
      <c r="Q12" s="26">
        <v>5</v>
      </c>
      <c r="R12" s="26">
        <v>5</v>
      </c>
      <c r="S12" s="26">
        <v>2</v>
      </c>
      <c r="T12" s="26">
        <v>7</v>
      </c>
      <c r="U12" s="26">
        <v>6</v>
      </c>
      <c r="V12" s="26">
        <v>3</v>
      </c>
      <c r="W12" s="26">
        <v>8</v>
      </c>
      <c r="X12" s="26">
        <v>2</v>
      </c>
      <c r="Y12" s="26">
        <v>10</v>
      </c>
      <c r="Z12" s="26">
        <v>1</v>
      </c>
      <c r="AA12" s="26">
        <v>0</v>
      </c>
      <c r="AB12" s="26">
        <v>27</v>
      </c>
      <c r="AC12" s="26">
        <v>2</v>
      </c>
      <c r="AD12" s="39">
        <f t="shared" si="0"/>
        <v>251</v>
      </c>
      <c r="AE12" s="40">
        <f>PRODUCT(AD12,100)/AD10</f>
        <v>45.553539019963701</v>
      </c>
      <c r="AF12" s="41" t="s">
        <v>28</v>
      </c>
      <c r="AG12" s="42" t="s">
        <v>29</v>
      </c>
    </row>
    <row r="13" spans="1:33" ht="18" customHeight="1">
      <c r="A13" s="21"/>
      <c r="B13" s="25" t="s">
        <v>30</v>
      </c>
      <c r="C13" s="26">
        <v>1</v>
      </c>
      <c r="D13" s="26">
        <v>3</v>
      </c>
      <c r="E13" s="26">
        <v>1</v>
      </c>
      <c r="F13" s="26">
        <v>5</v>
      </c>
      <c r="G13" s="26">
        <v>3</v>
      </c>
      <c r="H13" s="26">
        <v>3</v>
      </c>
      <c r="I13" s="26">
        <v>1</v>
      </c>
      <c r="J13" s="26">
        <v>1</v>
      </c>
      <c r="K13" s="26">
        <v>4</v>
      </c>
      <c r="L13" s="26">
        <v>4</v>
      </c>
      <c r="M13" s="26">
        <v>0</v>
      </c>
      <c r="N13" s="26">
        <v>3</v>
      </c>
      <c r="O13" s="26">
        <v>3</v>
      </c>
      <c r="P13" s="26">
        <v>4</v>
      </c>
      <c r="Q13" s="26">
        <v>3</v>
      </c>
      <c r="R13" s="26">
        <v>8</v>
      </c>
      <c r="S13" s="26">
        <v>6</v>
      </c>
      <c r="T13" s="26">
        <v>4</v>
      </c>
      <c r="U13" s="26">
        <v>1</v>
      </c>
      <c r="V13" s="26">
        <v>1</v>
      </c>
      <c r="W13" s="26">
        <v>0</v>
      </c>
      <c r="X13" s="26">
        <v>1</v>
      </c>
      <c r="Y13" s="26">
        <v>0</v>
      </c>
      <c r="Z13" s="26">
        <v>11</v>
      </c>
      <c r="AA13" s="26">
        <v>0</v>
      </c>
      <c r="AB13" s="26">
        <v>2</v>
      </c>
      <c r="AC13" s="26">
        <v>3</v>
      </c>
      <c r="AD13" s="43">
        <f t="shared" si="0"/>
        <v>76</v>
      </c>
      <c r="AE13" s="44">
        <f>PRODUCT(AD13,100)/AD10</f>
        <v>13.793103448275861</v>
      </c>
      <c r="AF13" s="45" t="s">
        <v>28</v>
      </c>
      <c r="AG13" s="46" t="s">
        <v>30</v>
      </c>
    </row>
    <row r="14" spans="1:33" ht="18" customHeight="1">
      <c r="A14" s="21"/>
      <c r="B14" s="25" t="s">
        <v>31</v>
      </c>
      <c r="C14" s="26">
        <v>2</v>
      </c>
      <c r="D14" s="26">
        <v>1</v>
      </c>
      <c r="E14" s="26">
        <v>17</v>
      </c>
      <c r="F14" s="26">
        <v>15</v>
      </c>
      <c r="G14" s="26">
        <v>21</v>
      </c>
      <c r="H14" s="26">
        <v>0</v>
      </c>
      <c r="I14" s="26">
        <v>0</v>
      </c>
      <c r="J14" s="26">
        <v>0</v>
      </c>
      <c r="K14" s="26">
        <v>18</v>
      </c>
      <c r="L14" s="26">
        <v>7</v>
      </c>
      <c r="M14" s="26">
        <v>1</v>
      </c>
      <c r="N14" s="26">
        <v>31</v>
      </c>
      <c r="O14" s="26">
        <v>21</v>
      </c>
      <c r="P14" s="26">
        <v>5</v>
      </c>
      <c r="Q14" s="26">
        <v>2</v>
      </c>
      <c r="R14" s="26">
        <v>11</v>
      </c>
      <c r="S14" s="26">
        <v>16</v>
      </c>
      <c r="T14" s="26">
        <v>9</v>
      </c>
      <c r="U14" s="26">
        <v>7</v>
      </c>
      <c r="V14" s="26">
        <v>2</v>
      </c>
      <c r="W14" s="26">
        <v>4</v>
      </c>
      <c r="X14" s="26">
        <v>1</v>
      </c>
      <c r="Y14" s="26">
        <v>0</v>
      </c>
      <c r="Z14" s="26">
        <v>12</v>
      </c>
      <c r="AA14" s="26">
        <v>0</v>
      </c>
      <c r="AB14" s="26">
        <v>22</v>
      </c>
      <c r="AC14" s="26">
        <v>2</v>
      </c>
      <c r="AD14" s="24">
        <f t="shared" si="0"/>
        <v>227</v>
      </c>
      <c r="AE14" s="27">
        <f>PRODUCT(AD14,100)/AD9</f>
        <v>66.961651917404126</v>
      </c>
      <c r="AF14" s="18" t="s">
        <v>28</v>
      </c>
      <c r="AG14" s="38" t="s">
        <v>31</v>
      </c>
    </row>
    <row r="15" spans="1:33" ht="18" customHeight="1">
      <c r="A15" s="21"/>
      <c r="B15" s="25" t="s">
        <v>32</v>
      </c>
      <c r="C15" s="26">
        <v>0</v>
      </c>
      <c r="D15" s="26">
        <v>1</v>
      </c>
      <c r="E15" s="26">
        <v>2</v>
      </c>
      <c r="F15" s="26">
        <v>7</v>
      </c>
      <c r="G15" s="26">
        <v>2</v>
      </c>
      <c r="H15" s="26">
        <v>0</v>
      </c>
      <c r="I15" s="26">
        <v>2</v>
      </c>
      <c r="J15" s="26">
        <v>0</v>
      </c>
      <c r="K15" s="26">
        <v>1</v>
      </c>
      <c r="L15" s="26">
        <v>1</v>
      </c>
      <c r="M15" s="26">
        <v>0</v>
      </c>
      <c r="N15" s="26">
        <v>8</v>
      </c>
      <c r="O15" s="26">
        <v>2</v>
      </c>
      <c r="P15" s="26">
        <v>1</v>
      </c>
      <c r="Q15" s="26">
        <v>0</v>
      </c>
      <c r="R15" s="26">
        <v>0</v>
      </c>
      <c r="S15" s="26">
        <v>1</v>
      </c>
      <c r="T15" s="26">
        <v>0</v>
      </c>
      <c r="U15" s="26">
        <v>1</v>
      </c>
      <c r="V15" s="26">
        <v>1</v>
      </c>
      <c r="W15" s="26">
        <v>0</v>
      </c>
      <c r="X15" s="26">
        <v>1</v>
      </c>
      <c r="Y15" s="26">
        <v>0</v>
      </c>
      <c r="Z15" s="26">
        <v>3</v>
      </c>
      <c r="AA15" s="26">
        <v>0</v>
      </c>
      <c r="AB15" s="26">
        <v>1</v>
      </c>
      <c r="AC15" s="26">
        <v>0</v>
      </c>
      <c r="AD15" s="24">
        <f t="shared" si="0"/>
        <v>35</v>
      </c>
      <c r="AE15" s="27">
        <f>PRODUCT(AD15,100)/AD9</f>
        <v>10.32448377581121</v>
      </c>
      <c r="AF15" s="18" t="s">
        <v>28</v>
      </c>
      <c r="AG15" s="38" t="s">
        <v>32</v>
      </c>
    </row>
    <row r="16" spans="1:33" ht="18" customHeight="1">
      <c r="A16" s="21"/>
      <c r="B16" s="25" t="s">
        <v>33</v>
      </c>
      <c r="C16" s="26">
        <v>0</v>
      </c>
      <c r="D16" s="26">
        <v>0</v>
      </c>
      <c r="E16" s="26">
        <v>1</v>
      </c>
      <c r="F16" s="26">
        <v>1</v>
      </c>
      <c r="G16" s="26">
        <v>3</v>
      </c>
      <c r="H16" s="26">
        <v>2</v>
      </c>
      <c r="I16" s="26">
        <v>1</v>
      </c>
      <c r="J16" s="26">
        <v>0</v>
      </c>
      <c r="K16" s="26">
        <v>0</v>
      </c>
      <c r="L16" s="26">
        <v>0</v>
      </c>
      <c r="M16" s="26">
        <v>0</v>
      </c>
      <c r="N16" s="26">
        <v>4</v>
      </c>
      <c r="O16" s="26">
        <v>3</v>
      </c>
      <c r="P16" s="26">
        <v>2</v>
      </c>
      <c r="Q16" s="26">
        <v>1</v>
      </c>
      <c r="R16" s="26">
        <v>0</v>
      </c>
      <c r="S16" s="26">
        <v>2</v>
      </c>
      <c r="T16" s="26">
        <v>0</v>
      </c>
      <c r="U16" s="26">
        <v>0</v>
      </c>
      <c r="V16" s="26">
        <v>0</v>
      </c>
      <c r="W16" s="26">
        <v>1</v>
      </c>
      <c r="X16" s="26">
        <v>0</v>
      </c>
      <c r="Y16" s="26">
        <v>0</v>
      </c>
      <c r="Z16" s="26">
        <v>8</v>
      </c>
      <c r="AA16" s="26">
        <v>0</v>
      </c>
      <c r="AB16" s="26">
        <v>2</v>
      </c>
      <c r="AC16" s="26">
        <v>0</v>
      </c>
      <c r="AD16" s="24">
        <f t="shared" si="0"/>
        <v>31</v>
      </c>
      <c r="AE16" s="27">
        <f>PRODUCT(AD16,100)/AD9</f>
        <v>9.1445427728613566</v>
      </c>
      <c r="AF16" s="18" t="s">
        <v>28</v>
      </c>
      <c r="AG16" s="38" t="s">
        <v>33</v>
      </c>
    </row>
    <row r="17" spans="1:33" ht="18" customHeight="1">
      <c r="A17" s="21"/>
      <c r="B17" s="25" t="s">
        <v>34</v>
      </c>
      <c r="C17" s="26">
        <v>0</v>
      </c>
      <c r="D17" s="26">
        <v>0</v>
      </c>
      <c r="E17" s="26">
        <v>0</v>
      </c>
      <c r="F17" s="26">
        <v>0</v>
      </c>
      <c r="G17" s="26">
        <v>1</v>
      </c>
      <c r="H17" s="26">
        <v>3</v>
      </c>
      <c r="I17" s="26">
        <v>0</v>
      </c>
      <c r="J17" s="26">
        <v>0</v>
      </c>
      <c r="K17" s="26">
        <v>0</v>
      </c>
      <c r="L17" s="26">
        <v>2</v>
      </c>
      <c r="M17" s="26">
        <v>0</v>
      </c>
      <c r="N17" s="26">
        <v>1</v>
      </c>
      <c r="O17" s="26">
        <v>1</v>
      </c>
      <c r="P17" s="26">
        <v>0</v>
      </c>
      <c r="Q17" s="26">
        <v>2</v>
      </c>
      <c r="R17" s="26">
        <v>1</v>
      </c>
      <c r="S17" s="26">
        <v>0</v>
      </c>
      <c r="T17" s="26">
        <v>0</v>
      </c>
      <c r="U17" s="26">
        <v>0</v>
      </c>
      <c r="V17" s="26">
        <v>0</v>
      </c>
      <c r="W17" s="26">
        <v>5</v>
      </c>
      <c r="X17" s="26">
        <v>0</v>
      </c>
      <c r="Y17" s="26">
        <v>9</v>
      </c>
      <c r="Z17" s="26">
        <v>7</v>
      </c>
      <c r="AA17" s="26">
        <v>0</v>
      </c>
      <c r="AB17" s="26">
        <v>2</v>
      </c>
      <c r="AC17" s="26">
        <v>0</v>
      </c>
      <c r="AD17" s="24">
        <f t="shared" si="0"/>
        <v>34</v>
      </c>
      <c r="AE17" s="27">
        <f>PRODUCT(AD17,100)/AD9</f>
        <v>10.029498525073747</v>
      </c>
      <c r="AF17" s="18" t="s">
        <v>28</v>
      </c>
      <c r="AG17" s="38" t="s">
        <v>34</v>
      </c>
    </row>
    <row r="18" spans="1:33" ht="18" customHeight="1">
      <c r="A18" s="21"/>
      <c r="B18" s="25" t="s">
        <v>35</v>
      </c>
      <c r="C18" s="26">
        <v>1</v>
      </c>
      <c r="D18" s="26">
        <v>2</v>
      </c>
      <c r="E18" s="26">
        <v>1</v>
      </c>
      <c r="F18" s="26">
        <v>14</v>
      </c>
      <c r="G18" s="26">
        <v>10</v>
      </c>
      <c r="H18" s="26">
        <v>0</v>
      </c>
      <c r="I18" s="26">
        <v>0</v>
      </c>
      <c r="J18" s="26">
        <v>10</v>
      </c>
      <c r="K18" s="26">
        <v>18</v>
      </c>
      <c r="L18" s="26">
        <v>3</v>
      </c>
      <c r="M18" s="26">
        <v>1</v>
      </c>
      <c r="N18" s="26">
        <v>12</v>
      </c>
      <c r="O18" s="26">
        <v>10</v>
      </c>
      <c r="P18" s="26">
        <v>9</v>
      </c>
      <c r="Q18" s="26">
        <v>2</v>
      </c>
      <c r="R18" s="26">
        <v>3</v>
      </c>
      <c r="S18" s="26">
        <v>14</v>
      </c>
      <c r="T18" s="26">
        <v>6</v>
      </c>
      <c r="U18" s="26">
        <v>1</v>
      </c>
      <c r="V18" s="26">
        <v>2</v>
      </c>
      <c r="W18" s="26">
        <v>1</v>
      </c>
      <c r="X18" s="26">
        <v>2</v>
      </c>
      <c r="Y18" s="26">
        <v>3</v>
      </c>
      <c r="Z18" s="26">
        <v>14</v>
      </c>
      <c r="AA18" s="26">
        <v>2</v>
      </c>
      <c r="AB18" s="26">
        <v>8</v>
      </c>
      <c r="AC18" s="26">
        <v>2</v>
      </c>
      <c r="AD18" s="24">
        <f t="shared" si="0"/>
        <v>151</v>
      </c>
      <c r="AE18" s="27">
        <f>PRODUCT(AD18,100)/AD9</f>
        <v>44.54277286135693</v>
      </c>
      <c r="AF18" s="18" t="s">
        <v>28</v>
      </c>
      <c r="AG18" s="38" t="s">
        <v>35</v>
      </c>
    </row>
    <row r="19" spans="1:33" ht="18" customHeight="1">
      <c r="A19" s="1"/>
      <c r="B19" s="8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4"/>
      <c r="AE19" s="1"/>
      <c r="AF19" s="1"/>
      <c r="AG19" s="1"/>
    </row>
    <row r="20" spans="1:33" ht="18" customHeight="1">
      <c r="A20" s="1"/>
      <c r="B20" s="8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4"/>
      <c r="AE20" s="1"/>
      <c r="AF20" s="1"/>
      <c r="AG20" s="1"/>
    </row>
    <row r="21" spans="1:33" ht="18" customHeight="1">
      <c r="A21" s="1"/>
      <c r="B21" s="8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4"/>
      <c r="AE21" s="1"/>
      <c r="AF21" s="1"/>
      <c r="AG21" s="1"/>
    </row>
    <row r="22" spans="1:33" ht="18" customHeight="1">
      <c r="A22" s="1"/>
      <c r="B22" s="8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4"/>
      <c r="AE22" s="1"/>
      <c r="AF22" s="1"/>
      <c r="AG22" s="1"/>
    </row>
    <row r="23" spans="1:33" ht="18" customHeight="1">
      <c r="A23" s="1"/>
      <c r="B23" s="8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4"/>
      <c r="AE23" s="1"/>
      <c r="AF23" s="1"/>
      <c r="AG23" s="1"/>
    </row>
    <row r="24" spans="1:33" ht="18" customHeight="1">
      <c r="A24" s="1"/>
      <c r="B24" s="8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4"/>
      <c r="AE24" s="1"/>
      <c r="AF24" s="1"/>
      <c r="AG24" s="1"/>
    </row>
    <row r="25" spans="1:33" ht="18" customHeight="1">
      <c r="A25" s="1"/>
      <c r="B25" s="8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4"/>
      <c r="AE25" s="1"/>
      <c r="AF25" s="1"/>
      <c r="AG25" s="1"/>
    </row>
    <row r="26" spans="1:33" ht="18" customHeight="1">
      <c r="A26" s="1"/>
      <c r="B26" s="8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4"/>
      <c r="AE26" s="1"/>
      <c r="AF26" s="1"/>
      <c r="AG26" s="1"/>
    </row>
    <row r="27" spans="1:33" ht="18" customHeight="1">
      <c r="A27" s="1"/>
      <c r="B27" s="8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4"/>
      <c r="AE27" s="1"/>
      <c r="AF27" s="1"/>
      <c r="AG27" s="1"/>
    </row>
    <row r="28" spans="1:33" ht="18" customHeight="1">
      <c r="A28" s="1"/>
      <c r="B28" s="8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4"/>
      <c r="AE28" s="1"/>
      <c r="AF28" s="1"/>
      <c r="AG28" s="1"/>
    </row>
    <row r="29" spans="1:33" ht="18" customHeight="1">
      <c r="A29" s="1"/>
      <c r="B29" s="8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4"/>
      <c r="AE29" s="1"/>
      <c r="AF29" s="1"/>
      <c r="AG29" s="1"/>
    </row>
    <row r="30" spans="1:33" ht="18" customHeight="1">
      <c r="A30" s="1"/>
      <c r="B30" s="8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4"/>
      <c r="AE30" s="1"/>
      <c r="AF30" s="1"/>
      <c r="AG30" s="1"/>
    </row>
    <row r="31" spans="1:33" ht="18" customHeight="1">
      <c r="A31" s="1"/>
      <c r="B31" s="8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4"/>
      <c r="AE31" s="1"/>
      <c r="AF31" s="1"/>
      <c r="AG31" s="1"/>
    </row>
    <row r="32" spans="1:33" ht="18" customHeight="1">
      <c r="A32" s="1"/>
      <c r="B32" s="8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4"/>
      <c r="AE32" s="1"/>
      <c r="AF32" s="1"/>
      <c r="AG32" s="1"/>
    </row>
    <row r="33" spans="1:33" ht="18" customHeight="1">
      <c r="A33" s="1"/>
      <c r="B33" s="8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4"/>
      <c r="AE33" s="1"/>
      <c r="AF33" s="1"/>
      <c r="AG33" s="1"/>
    </row>
    <row r="34" spans="1:33" ht="18" customHeight="1">
      <c r="A34" s="1"/>
      <c r="B34" s="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4"/>
      <c r="AE34" s="1"/>
      <c r="AF34" s="1"/>
      <c r="AG34" s="1"/>
    </row>
    <row r="35" spans="1:33" ht="18" customHeight="1">
      <c r="A35" s="1"/>
      <c r="B35" s="8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4"/>
      <c r="AE35" s="1"/>
      <c r="AF35" s="1"/>
      <c r="AG35" s="1"/>
    </row>
    <row r="36" spans="1:33" ht="18" customHeight="1">
      <c r="A36" s="1"/>
      <c r="B36" s="8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4"/>
      <c r="AE36" s="1"/>
      <c r="AF36" s="1"/>
      <c r="AG36" s="1"/>
    </row>
    <row r="37" spans="1:33" ht="18" customHeight="1">
      <c r="A37" s="1"/>
      <c r="B37" s="8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4"/>
      <c r="AE37" s="1"/>
      <c r="AF37" s="1"/>
      <c r="AG37" s="1"/>
    </row>
    <row r="38" spans="1:33" ht="18" customHeight="1">
      <c r="A38" s="1"/>
      <c r="B38" s="8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4"/>
      <c r="AE38" s="1"/>
      <c r="AF38" s="1"/>
      <c r="AG38" s="1"/>
    </row>
    <row r="39" spans="1:33" ht="18" customHeight="1">
      <c r="A39" s="1"/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4"/>
      <c r="AE39" s="1"/>
      <c r="AF39" s="1"/>
      <c r="AG39" s="1"/>
    </row>
    <row r="40" spans="1:33" ht="18" customHeight="1">
      <c r="A40" s="1"/>
      <c r="B40" s="8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4"/>
      <c r="AE40" s="1"/>
      <c r="AF40" s="1"/>
      <c r="AG40" s="1"/>
    </row>
    <row r="41" spans="1:33" ht="18" customHeight="1">
      <c r="A41" s="1"/>
      <c r="B41" s="8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4"/>
      <c r="AE41" s="1"/>
      <c r="AF41" s="1"/>
      <c r="AG41" s="1"/>
    </row>
    <row r="42" spans="1:33" ht="18" customHeight="1">
      <c r="A42" s="1"/>
      <c r="B42" s="8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4"/>
      <c r="AE42" s="1"/>
      <c r="AF42" s="1"/>
      <c r="AG42" s="1"/>
    </row>
    <row r="43" spans="1:33" ht="18" customHeight="1">
      <c r="A43" s="1"/>
      <c r="B43" s="8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4"/>
      <c r="AE43" s="1"/>
      <c r="AF43" s="1"/>
      <c r="AG43" s="1"/>
    </row>
    <row r="44" spans="1:33" ht="18" customHeight="1">
      <c r="A44" s="1"/>
      <c r="B44" s="8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4"/>
      <c r="AE44" s="1"/>
      <c r="AF44" s="1"/>
      <c r="AG44" s="1"/>
    </row>
    <row r="45" spans="1:33" ht="18" customHeight="1">
      <c r="A45" s="1"/>
      <c r="B45" s="8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4"/>
      <c r="AE45" s="1"/>
      <c r="AF45" s="1"/>
      <c r="AG45" s="1"/>
    </row>
    <row r="46" spans="1:33" ht="18" customHeight="1">
      <c r="A46" s="1"/>
      <c r="B46" s="8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4"/>
      <c r="AE46" s="1"/>
      <c r="AF46" s="1"/>
      <c r="AG46" s="1"/>
    </row>
    <row r="47" spans="1:33" ht="18" customHeight="1">
      <c r="A47" s="1"/>
      <c r="B47" s="8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4"/>
      <c r="AE47" s="1"/>
      <c r="AF47" s="1"/>
      <c r="AG47" s="1"/>
    </row>
    <row r="48" spans="1:33" ht="18" customHeight="1">
      <c r="A48" s="1"/>
      <c r="B48" s="8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4"/>
      <c r="AE48" s="1"/>
      <c r="AF48" s="1"/>
      <c r="AG48" s="1"/>
    </row>
    <row r="49" spans="1:33" ht="18" customHeight="1">
      <c r="A49" s="1"/>
      <c r="B49" s="8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4"/>
      <c r="AE49" s="1"/>
      <c r="AF49" s="1"/>
      <c r="AG49" s="1"/>
    </row>
    <row r="50" spans="1:33" ht="18" customHeight="1">
      <c r="A50" s="1"/>
      <c r="B50" s="8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4"/>
      <c r="AE50" s="1"/>
      <c r="AF50" s="1"/>
      <c r="AG50" s="1"/>
    </row>
    <row r="51" spans="1:33" ht="18" customHeight="1">
      <c r="A51" s="1"/>
      <c r="B51" s="8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4"/>
      <c r="AE51" s="1"/>
      <c r="AF51" s="1"/>
      <c r="AG51" s="1"/>
    </row>
    <row r="52" spans="1:33" ht="18" customHeight="1">
      <c r="A52" s="1"/>
      <c r="B52" s="8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4"/>
      <c r="AE52" s="1"/>
      <c r="AF52" s="1"/>
      <c r="AG52" s="1"/>
    </row>
    <row r="53" spans="1:33" ht="18" customHeight="1">
      <c r="A53" s="1"/>
      <c r="B53" s="8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4"/>
      <c r="AE53" s="1"/>
      <c r="AF53" s="1"/>
      <c r="AG53" s="1"/>
    </row>
    <row r="54" spans="1:33" ht="18" customHeight="1">
      <c r="A54" s="1"/>
      <c r="B54" s="8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4"/>
      <c r="AE54" s="1"/>
      <c r="AF54" s="1"/>
      <c r="AG54" s="1"/>
    </row>
    <row r="55" spans="1:33" ht="18" customHeight="1">
      <c r="A55" s="1"/>
      <c r="B55" s="8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4"/>
      <c r="AE55" s="1"/>
      <c r="AF55" s="1"/>
      <c r="AG55" s="1"/>
    </row>
    <row r="56" spans="1:33" ht="18" customHeight="1">
      <c r="A56" s="1"/>
      <c r="B56" s="8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4"/>
      <c r="AE56" s="1"/>
      <c r="AF56" s="1"/>
      <c r="AG56" s="1"/>
    </row>
    <row r="57" spans="1:33" ht="18" customHeight="1">
      <c r="A57" s="1"/>
      <c r="B57" s="8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4"/>
      <c r="AE57" s="1"/>
      <c r="AF57" s="1"/>
      <c r="AG57" s="1"/>
    </row>
    <row r="58" spans="1:33" ht="18" customHeight="1">
      <c r="A58" s="1"/>
      <c r="B58" s="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4"/>
      <c r="AE58" s="1"/>
      <c r="AF58" s="1"/>
      <c r="AG58" s="1"/>
    </row>
    <row r="59" spans="1:33" ht="18" customHeight="1">
      <c r="A59" s="1"/>
      <c r="B59" s="8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4"/>
      <c r="AE59" s="1"/>
      <c r="AF59" s="1"/>
      <c r="AG59" s="1"/>
    </row>
    <row r="60" spans="1:33" ht="18" customHeight="1">
      <c r="A60" s="1"/>
      <c r="B60" s="8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4"/>
      <c r="AE60" s="1"/>
      <c r="AF60" s="1"/>
      <c r="AG60" s="1"/>
    </row>
    <row r="61" spans="1:33" ht="18" customHeight="1">
      <c r="A61" s="1"/>
      <c r="B61" s="8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4"/>
      <c r="AE61" s="1"/>
      <c r="AF61" s="1"/>
      <c r="AG61" s="1"/>
    </row>
    <row r="62" spans="1:33" ht="18" customHeight="1">
      <c r="A62" s="1"/>
      <c r="B62" s="8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4"/>
      <c r="AE62" s="1"/>
      <c r="AF62" s="1"/>
      <c r="AG62" s="1"/>
    </row>
    <row r="63" spans="1:33" ht="18" customHeight="1">
      <c r="A63" s="1"/>
      <c r="B63" s="8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4"/>
      <c r="AE63" s="1"/>
      <c r="AF63" s="1"/>
      <c r="AG63" s="1"/>
    </row>
    <row r="64" spans="1:33" ht="18" customHeight="1">
      <c r="A64" s="1"/>
      <c r="B64" s="8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4"/>
      <c r="AE64" s="1"/>
      <c r="AF64" s="1"/>
      <c r="AG64" s="1"/>
    </row>
    <row r="65" spans="1:33" ht="18" customHeight="1">
      <c r="A65" s="1"/>
      <c r="B65" s="8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4"/>
      <c r="AE65" s="1"/>
      <c r="AF65" s="1"/>
      <c r="AG65" s="1"/>
    </row>
    <row r="66" spans="1:33" ht="18" customHeight="1">
      <c r="A66" s="1"/>
      <c r="B66" s="8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4"/>
      <c r="AE66" s="1"/>
      <c r="AF66" s="1"/>
      <c r="AG66" s="1"/>
    </row>
    <row r="67" spans="1:33" ht="18" customHeight="1">
      <c r="A67" s="1"/>
      <c r="B67" s="8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4"/>
      <c r="AE67" s="1"/>
      <c r="AF67" s="1"/>
      <c r="AG67" s="1"/>
    </row>
    <row r="68" spans="1:33" ht="18" customHeight="1">
      <c r="A68" s="1"/>
      <c r="B68" s="8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4"/>
      <c r="AE68" s="1"/>
      <c r="AF68" s="1"/>
      <c r="AG68" s="1"/>
    </row>
    <row r="69" spans="1:33" ht="18" customHeight="1">
      <c r="A69" s="1"/>
      <c r="B69" s="8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4"/>
      <c r="AE69" s="1"/>
      <c r="AF69" s="1"/>
      <c r="AG69" s="1"/>
    </row>
    <row r="70" spans="1:33" ht="18" customHeight="1">
      <c r="A70" s="1"/>
      <c r="B70" s="8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4"/>
      <c r="AE70" s="1"/>
      <c r="AF70" s="1"/>
      <c r="AG70" s="1"/>
    </row>
    <row r="71" spans="1:33" ht="18" customHeight="1">
      <c r="A71" s="1"/>
      <c r="B71" s="8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4"/>
      <c r="AE71" s="1"/>
      <c r="AF71" s="1"/>
      <c r="AG71" s="1"/>
    </row>
    <row r="72" spans="1:33" ht="18" customHeight="1">
      <c r="A72" s="1"/>
      <c r="B72" s="8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4"/>
      <c r="AE72" s="1"/>
      <c r="AF72" s="1"/>
      <c r="AG72" s="1"/>
    </row>
    <row r="73" spans="1:33" ht="18" customHeight="1">
      <c r="A73" s="1"/>
      <c r="B73" s="8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4"/>
      <c r="AE73" s="1"/>
      <c r="AF73" s="1"/>
      <c r="AG73" s="1"/>
    </row>
    <row r="74" spans="1:33" ht="18" customHeight="1">
      <c r="A74" s="1"/>
      <c r="B74" s="8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4"/>
      <c r="AE74" s="1"/>
      <c r="AF74" s="1"/>
      <c r="AG74" s="1"/>
    </row>
    <row r="75" spans="1:33" ht="18" customHeight="1">
      <c r="A75" s="1"/>
      <c r="B75" s="8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4"/>
      <c r="AE75" s="1"/>
      <c r="AF75" s="1"/>
      <c r="AG75" s="1"/>
    </row>
    <row r="76" spans="1:33" ht="18" customHeight="1">
      <c r="A76" s="1"/>
      <c r="B76" s="8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4"/>
      <c r="AE76" s="1"/>
      <c r="AF76" s="1"/>
      <c r="AG76" s="1"/>
    </row>
    <row r="77" spans="1:33" ht="18" customHeight="1">
      <c r="A77" s="1"/>
      <c r="B77" s="8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4"/>
      <c r="AE77" s="1"/>
      <c r="AF77" s="1"/>
      <c r="AG77" s="1"/>
    </row>
    <row r="78" spans="1:33" ht="18" customHeight="1">
      <c r="A78" s="1"/>
      <c r="B78" s="8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4"/>
      <c r="AE78" s="1"/>
      <c r="AF78" s="1"/>
      <c r="AG78" s="1"/>
    </row>
    <row r="79" spans="1:33" ht="18" customHeight="1">
      <c r="A79" s="1"/>
      <c r="B79" s="8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4"/>
      <c r="AE79" s="1"/>
      <c r="AF79" s="1"/>
      <c r="AG79" s="1"/>
    </row>
    <row r="80" spans="1:33" ht="18" customHeight="1">
      <c r="A80" s="1"/>
      <c r="B80" s="8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4"/>
      <c r="AE80" s="1"/>
      <c r="AF80" s="1"/>
      <c r="AG80" s="1"/>
    </row>
    <row r="81" spans="1:33" ht="18" customHeight="1">
      <c r="A81" s="1"/>
      <c r="B81" s="8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4"/>
      <c r="AE81" s="1"/>
      <c r="AF81" s="1"/>
      <c r="AG81" s="1"/>
    </row>
    <row r="82" spans="1:33" ht="18" customHeight="1">
      <c r="A82" s="1"/>
      <c r="B82" s="8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4"/>
      <c r="AE82" s="1"/>
      <c r="AF82" s="1"/>
      <c r="AG82" s="1"/>
    </row>
    <row r="83" spans="1:33" ht="18" customHeight="1">
      <c r="A83" s="1"/>
      <c r="B83" s="8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4"/>
      <c r="AE83" s="1"/>
      <c r="AF83" s="1"/>
      <c r="AG83" s="1"/>
    </row>
    <row r="84" spans="1:33" ht="18" customHeight="1">
      <c r="A84" s="1"/>
      <c r="B84" s="8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4"/>
      <c r="AE84" s="1"/>
      <c r="AF84" s="1"/>
      <c r="AG84" s="1"/>
    </row>
    <row r="85" spans="1:33" ht="18" customHeight="1">
      <c r="A85" s="1"/>
      <c r="B85" s="8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4"/>
      <c r="AE85" s="1"/>
      <c r="AF85" s="1"/>
      <c r="AG85" s="1"/>
    </row>
    <row r="86" spans="1:33" ht="18" customHeight="1">
      <c r="A86" s="1"/>
      <c r="B86" s="8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4"/>
      <c r="AE86" s="1"/>
      <c r="AF86" s="1"/>
      <c r="AG86" s="1"/>
    </row>
    <row r="87" spans="1:33" ht="18" customHeight="1">
      <c r="A87" s="1"/>
      <c r="B87" s="8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4"/>
      <c r="AE87" s="1"/>
      <c r="AF87" s="1"/>
      <c r="AG87" s="1"/>
    </row>
    <row r="88" spans="1:33" ht="18" customHeight="1">
      <c r="A88" s="1"/>
      <c r="B88" s="8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4"/>
      <c r="AE88" s="1"/>
      <c r="AF88" s="1"/>
      <c r="AG88" s="1"/>
    </row>
    <row r="89" spans="1:33" ht="18" customHeight="1">
      <c r="A89" s="1"/>
      <c r="B89" s="8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4"/>
      <c r="AE89" s="1"/>
      <c r="AF89" s="1"/>
      <c r="AG89" s="1"/>
    </row>
    <row r="90" spans="1:33" ht="18" customHeight="1">
      <c r="A90" s="1"/>
      <c r="B90" s="8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4"/>
      <c r="AE90" s="1"/>
      <c r="AF90" s="1"/>
      <c r="AG90" s="1"/>
    </row>
    <row r="91" spans="1:33" ht="18" customHeight="1">
      <c r="A91" s="1"/>
      <c r="B91" s="8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4"/>
      <c r="AE91" s="1"/>
      <c r="AF91" s="1"/>
      <c r="AG91" s="1"/>
    </row>
    <row r="92" spans="1:33" ht="18" customHeight="1">
      <c r="A92" s="1"/>
      <c r="B92" s="8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4"/>
      <c r="AE92" s="1"/>
      <c r="AF92" s="1"/>
      <c r="AG92" s="1"/>
    </row>
    <row r="93" spans="1:33" ht="18" customHeight="1">
      <c r="A93" s="1"/>
      <c r="B93" s="8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4"/>
      <c r="AE93" s="1"/>
      <c r="AF93" s="1"/>
      <c r="AG93" s="1"/>
    </row>
    <row r="94" spans="1:33" ht="18" customHeight="1">
      <c r="A94" s="1"/>
      <c r="B94" s="8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4"/>
      <c r="AE94" s="1"/>
      <c r="AF94" s="1"/>
      <c r="AG94" s="1"/>
    </row>
    <row r="95" spans="1:33" ht="18" customHeight="1">
      <c r="A95" s="1"/>
      <c r="B95" s="8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4"/>
      <c r="AE95" s="1"/>
      <c r="AF95" s="1"/>
      <c r="AG95" s="1"/>
    </row>
    <row r="96" spans="1:33" ht="18" customHeight="1">
      <c r="A96" s="1"/>
      <c r="B96" s="8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4"/>
      <c r="AE96" s="1"/>
      <c r="AF96" s="1"/>
      <c r="AG96" s="1"/>
    </row>
    <row r="97" spans="1:33" ht="18" customHeight="1">
      <c r="A97" s="1"/>
      <c r="B97" s="8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4"/>
      <c r="AE97" s="1"/>
      <c r="AF97" s="1"/>
      <c r="AG97" s="1"/>
    </row>
    <row r="98" spans="1:33" ht="18" customHeight="1">
      <c r="A98" s="1"/>
      <c r="B98" s="8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4"/>
      <c r="AE98" s="1"/>
      <c r="AF98" s="1"/>
      <c r="AG98" s="1"/>
    </row>
    <row r="99" spans="1:33" ht="18" customHeight="1">
      <c r="A99" s="1"/>
      <c r="B99" s="8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4"/>
      <c r="AE99" s="1"/>
      <c r="AF99" s="1"/>
      <c r="AG99" s="1"/>
    </row>
    <row r="100" spans="1:33" ht="18" customHeight="1">
      <c r="A100" s="1"/>
      <c r="B100" s="8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4"/>
      <c r="AE100" s="1"/>
      <c r="AF100" s="1"/>
      <c r="AG100" s="1"/>
    </row>
  </sheetData>
  <conditionalFormatting sqref="C5:AC18">
    <cfRule type="cellIs" dxfId="5" priority="1" operator="equal">
      <formula>0</formula>
    </cfRule>
  </conditionalFormatting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003C0"/>
  </sheetPr>
  <dimension ref="A1:AM100"/>
  <sheetViews>
    <sheetView workbookViewId="0">
      <selection activeCell="B5" sqref="B5"/>
    </sheetView>
  </sheetViews>
  <sheetFormatPr baseColWidth="10" defaultColWidth="11.140625" defaultRowHeight="15" customHeight="1"/>
  <cols>
    <col min="1" max="1" width="3.28515625" customWidth="1"/>
    <col min="2" max="2" width="24.140625" customWidth="1"/>
    <col min="3" max="35" width="3.7109375" customWidth="1"/>
    <col min="36" max="36" width="11.5703125" customWidth="1"/>
    <col min="37" max="37" width="9" bestFit="1" customWidth="1"/>
    <col min="38" max="38" width="3.140625" customWidth="1"/>
    <col min="39" max="39" width="19.5703125" customWidth="1"/>
  </cols>
  <sheetData>
    <row r="1" spans="1:39" ht="18" customHeight="1">
      <c r="A1" s="1"/>
      <c r="B1" s="47">
        <v>2026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4"/>
      <c r="AK1" s="1"/>
      <c r="AL1" s="1"/>
      <c r="AM1" s="1"/>
    </row>
    <row r="2" spans="1:39" ht="18" customHeight="1">
      <c r="A2" s="1"/>
      <c r="B2" s="6" t="s">
        <v>0</v>
      </c>
      <c r="C2" s="7">
        <f>COUNT(C5:AI5)</f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4"/>
      <c r="AK2" s="1"/>
      <c r="AL2" s="1"/>
      <c r="AM2" s="1"/>
    </row>
    <row r="3" spans="1:39" ht="18" customHeight="1">
      <c r="A3" s="1"/>
      <c r="B3" s="8"/>
      <c r="C3" s="3"/>
      <c r="D3" s="3"/>
      <c r="E3" s="3"/>
      <c r="F3" s="3"/>
      <c r="G3" s="3"/>
      <c r="H3" s="3"/>
      <c r="I3" s="48" t="s">
        <v>113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4"/>
      <c r="AK3" s="1"/>
      <c r="AL3" s="1"/>
      <c r="AM3" s="1"/>
    </row>
    <row r="4" spans="1:39" ht="18" customHeight="1">
      <c r="A4" s="9"/>
      <c r="B4" s="8"/>
      <c r="C4" s="49" t="s">
        <v>114</v>
      </c>
      <c r="D4" s="49" t="s">
        <v>115</v>
      </c>
      <c r="E4" s="49" t="s">
        <v>116</v>
      </c>
      <c r="F4" s="49" t="s">
        <v>117</v>
      </c>
      <c r="G4" s="49" t="s">
        <v>118</v>
      </c>
      <c r="H4" s="49" t="s">
        <v>119</v>
      </c>
      <c r="I4" s="49" t="s">
        <v>120</v>
      </c>
      <c r="J4" s="49" t="s">
        <v>121</v>
      </c>
      <c r="K4" s="49" t="s">
        <v>122</v>
      </c>
      <c r="L4" s="49" t="s">
        <v>123</v>
      </c>
      <c r="M4" s="49" t="s">
        <v>124</v>
      </c>
      <c r="N4" s="49" t="s">
        <v>125</v>
      </c>
      <c r="O4" s="49" t="s">
        <v>126</v>
      </c>
      <c r="P4" s="49" t="s">
        <v>127</v>
      </c>
      <c r="Q4" s="49" t="s">
        <v>128</v>
      </c>
      <c r="R4" s="49" t="s">
        <v>129</v>
      </c>
      <c r="S4" s="49" t="s">
        <v>130</v>
      </c>
      <c r="T4" s="49" t="s">
        <v>131</v>
      </c>
      <c r="U4" s="49" t="s">
        <v>132</v>
      </c>
      <c r="V4" s="49" t="s">
        <v>133</v>
      </c>
      <c r="W4" s="49" t="s">
        <v>134</v>
      </c>
      <c r="X4" s="49" t="s">
        <v>135</v>
      </c>
      <c r="Y4" s="49" t="s">
        <v>136</v>
      </c>
      <c r="Z4" s="49" t="s">
        <v>137</v>
      </c>
      <c r="AA4" s="49" t="s">
        <v>138</v>
      </c>
      <c r="AB4" s="49" t="s">
        <v>139</v>
      </c>
      <c r="AC4" s="49" t="s">
        <v>140</v>
      </c>
      <c r="AD4" s="49" t="s">
        <v>141</v>
      </c>
      <c r="AE4" s="49" t="s">
        <v>142</v>
      </c>
      <c r="AF4" s="49" t="s">
        <v>143</v>
      </c>
      <c r="AG4" s="49" t="s">
        <v>144</v>
      </c>
      <c r="AH4" s="49" t="s">
        <v>145</v>
      </c>
      <c r="AI4" s="49" t="s">
        <v>146</v>
      </c>
      <c r="AJ4" s="11" t="s">
        <v>20</v>
      </c>
      <c r="AK4" s="9"/>
      <c r="AL4" s="9"/>
      <c r="AM4" s="9"/>
    </row>
    <row r="5" spans="1:39" ht="18" customHeight="1">
      <c r="A5" s="13"/>
      <c r="B5" s="14" t="s">
        <v>21</v>
      </c>
      <c r="C5" s="15"/>
      <c r="D5" s="15"/>
      <c r="E5" s="15"/>
      <c r="F5" s="15">
        <v>432</v>
      </c>
      <c r="G5" s="15">
        <v>21</v>
      </c>
      <c r="H5" s="15"/>
      <c r="I5" s="15"/>
      <c r="J5" s="15"/>
      <c r="K5" s="15"/>
      <c r="L5" s="15"/>
      <c r="M5" s="15">
        <v>569</v>
      </c>
      <c r="N5" s="15"/>
      <c r="O5" s="15"/>
      <c r="P5" s="15"/>
      <c r="Q5" s="15"/>
      <c r="R5" s="15"/>
      <c r="S5" s="15"/>
      <c r="T5" s="15"/>
      <c r="U5" s="15"/>
      <c r="V5" s="15"/>
      <c r="W5" s="15">
        <v>152</v>
      </c>
      <c r="X5" s="15">
        <v>207</v>
      </c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7">
        <f t="shared" ref="AJ5:AJ8" si="0">SUM(C5:AI5)</f>
        <v>1381</v>
      </c>
      <c r="AK5" s="13"/>
      <c r="AL5" s="13"/>
      <c r="AM5" s="13"/>
    </row>
    <row r="6" spans="1:39" ht="18" customHeight="1">
      <c r="A6" s="13"/>
      <c r="B6" s="14" t="s">
        <v>22</v>
      </c>
      <c r="C6" s="15"/>
      <c r="D6" s="15"/>
      <c r="E6" s="15"/>
      <c r="F6" s="15">
        <v>7</v>
      </c>
      <c r="G6" s="15">
        <v>15</v>
      </c>
      <c r="H6" s="15"/>
      <c r="I6" s="15"/>
      <c r="J6" s="15"/>
      <c r="K6" s="15"/>
      <c r="L6" s="15"/>
      <c r="M6" s="15">
        <v>191</v>
      </c>
      <c r="N6" s="15"/>
      <c r="O6" s="15"/>
      <c r="P6" s="15"/>
      <c r="Q6" s="15"/>
      <c r="R6" s="15"/>
      <c r="S6" s="15"/>
      <c r="T6" s="15"/>
      <c r="U6" s="15"/>
      <c r="V6" s="15"/>
      <c r="W6" s="15">
        <v>37</v>
      </c>
      <c r="X6" s="15">
        <v>188</v>
      </c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7">
        <f t="shared" si="0"/>
        <v>438</v>
      </c>
      <c r="AK6" s="13"/>
      <c r="AL6" s="13"/>
      <c r="AM6" s="13"/>
    </row>
    <row r="7" spans="1:39" ht="18" customHeight="1">
      <c r="A7" s="13"/>
      <c r="B7" s="14" t="s">
        <v>23</v>
      </c>
      <c r="C7" s="15"/>
      <c r="D7" s="15"/>
      <c r="E7" s="15"/>
      <c r="F7" s="15">
        <v>424</v>
      </c>
      <c r="G7" s="15">
        <v>0</v>
      </c>
      <c r="H7" s="15"/>
      <c r="I7" s="15"/>
      <c r="J7" s="15"/>
      <c r="K7" s="15"/>
      <c r="L7" s="15"/>
      <c r="M7" s="15">
        <v>267</v>
      </c>
      <c r="N7" s="15"/>
      <c r="O7" s="15"/>
      <c r="P7" s="15"/>
      <c r="Q7" s="15"/>
      <c r="R7" s="15"/>
      <c r="S7" s="15"/>
      <c r="T7" s="15"/>
      <c r="U7" s="15"/>
      <c r="V7" s="15"/>
      <c r="W7" s="15">
        <v>25</v>
      </c>
      <c r="X7" s="15">
        <v>16</v>
      </c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7">
        <f t="shared" si="0"/>
        <v>732</v>
      </c>
      <c r="AK7" s="13"/>
      <c r="AL7" s="13"/>
      <c r="AM7" s="13"/>
    </row>
    <row r="8" spans="1:39" ht="18" customHeight="1">
      <c r="A8" s="13"/>
      <c r="B8" s="19" t="s">
        <v>24</v>
      </c>
      <c r="C8" s="20"/>
      <c r="D8" s="20"/>
      <c r="E8" s="20"/>
      <c r="F8" s="20">
        <v>35</v>
      </c>
      <c r="G8" s="20">
        <v>1</v>
      </c>
      <c r="H8" s="20"/>
      <c r="I8" s="20"/>
      <c r="J8" s="20"/>
      <c r="K8" s="20"/>
      <c r="L8" s="20"/>
      <c r="M8" s="20">
        <v>32</v>
      </c>
      <c r="N8" s="20"/>
      <c r="O8" s="20"/>
      <c r="P8" s="20"/>
      <c r="Q8" s="20"/>
      <c r="R8" s="20"/>
      <c r="S8" s="20"/>
      <c r="T8" s="20"/>
      <c r="U8" s="20"/>
      <c r="V8" s="20"/>
      <c r="W8" s="20">
        <v>15</v>
      </c>
      <c r="X8" s="20">
        <v>25</v>
      </c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30">
        <f t="shared" si="0"/>
        <v>108</v>
      </c>
      <c r="AK8" s="13"/>
      <c r="AL8" s="13"/>
      <c r="AM8" s="13"/>
    </row>
    <row r="9" spans="1:39" ht="18" customHeight="1">
      <c r="A9" s="21"/>
      <c r="B9" s="22" t="s">
        <v>25</v>
      </c>
      <c r="C9" s="23"/>
      <c r="D9" s="23"/>
      <c r="E9" s="23"/>
      <c r="F9" s="23">
        <v>35</v>
      </c>
      <c r="G9" s="23">
        <v>1</v>
      </c>
      <c r="H9" s="23"/>
      <c r="I9" s="23"/>
      <c r="J9" s="23"/>
      <c r="K9" s="23"/>
      <c r="L9" s="23"/>
      <c r="M9" s="23">
        <v>32</v>
      </c>
      <c r="N9" s="23"/>
      <c r="O9" s="23"/>
      <c r="P9" s="23"/>
      <c r="Q9" s="23"/>
      <c r="R9" s="23"/>
      <c r="S9" s="23"/>
      <c r="T9" s="23"/>
      <c r="U9" s="23"/>
      <c r="V9" s="23"/>
      <c r="W9" s="23">
        <v>23</v>
      </c>
      <c r="X9" s="23">
        <v>25</v>
      </c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31">
        <f t="shared" ref="AJ9:AJ18" si="1">SUM(H9:AI9)</f>
        <v>80</v>
      </c>
      <c r="AK9" s="21"/>
      <c r="AL9" s="21"/>
      <c r="AM9" s="21"/>
    </row>
    <row r="10" spans="1:39" ht="18" customHeight="1">
      <c r="A10" s="21"/>
      <c r="B10" s="25" t="s">
        <v>26</v>
      </c>
      <c r="C10" s="26"/>
      <c r="D10" s="26"/>
      <c r="E10" s="26"/>
      <c r="F10" s="26">
        <v>68</v>
      </c>
      <c r="G10" s="26">
        <v>6</v>
      </c>
      <c r="H10" s="26"/>
      <c r="I10" s="26"/>
      <c r="J10" s="26"/>
      <c r="K10" s="26"/>
      <c r="L10" s="26"/>
      <c r="M10" s="26">
        <v>51</v>
      </c>
      <c r="N10" s="26"/>
      <c r="O10" s="26"/>
      <c r="P10" s="26"/>
      <c r="Q10" s="26"/>
      <c r="R10" s="26"/>
      <c r="S10" s="26"/>
      <c r="T10" s="26"/>
      <c r="U10" s="26"/>
      <c r="V10" s="26"/>
      <c r="W10" s="26">
        <v>24</v>
      </c>
      <c r="X10" s="26">
        <v>34</v>
      </c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4">
        <f t="shared" si="1"/>
        <v>109</v>
      </c>
      <c r="AK10" s="21"/>
      <c r="AL10" s="21"/>
      <c r="AM10" s="21"/>
    </row>
    <row r="11" spans="1:39" ht="18" customHeight="1">
      <c r="A11" s="21"/>
      <c r="B11" s="25" t="s">
        <v>27</v>
      </c>
      <c r="C11" s="26"/>
      <c r="D11" s="26"/>
      <c r="E11" s="26"/>
      <c r="F11" s="26">
        <v>53</v>
      </c>
      <c r="G11" s="26">
        <v>0</v>
      </c>
      <c r="H11" s="26"/>
      <c r="I11" s="26"/>
      <c r="J11" s="26"/>
      <c r="K11" s="26"/>
      <c r="L11" s="26"/>
      <c r="M11" s="26">
        <v>45</v>
      </c>
      <c r="N11" s="26"/>
      <c r="O11" s="26"/>
      <c r="P11" s="26"/>
      <c r="Q11" s="26"/>
      <c r="R11" s="26"/>
      <c r="S11" s="26"/>
      <c r="T11" s="26"/>
      <c r="U11" s="26"/>
      <c r="V11" s="26"/>
      <c r="W11" s="26">
        <v>8</v>
      </c>
      <c r="X11" s="26">
        <v>7</v>
      </c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4">
        <f t="shared" si="1"/>
        <v>60</v>
      </c>
      <c r="AK11" s="27">
        <f>PRODUCT(AJ11,100)/AJ10</f>
        <v>55.045871559633028</v>
      </c>
      <c r="AL11" s="18" t="s">
        <v>28</v>
      </c>
      <c r="AM11" s="38" t="s">
        <v>27</v>
      </c>
    </row>
    <row r="12" spans="1:39" ht="18" customHeight="1">
      <c r="A12" s="21"/>
      <c r="B12" s="25" t="s">
        <v>29</v>
      </c>
      <c r="C12" s="26"/>
      <c r="D12" s="26"/>
      <c r="E12" s="26"/>
      <c r="F12" s="26">
        <v>8</v>
      </c>
      <c r="G12" s="26">
        <v>2</v>
      </c>
      <c r="H12" s="26"/>
      <c r="I12" s="26"/>
      <c r="J12" s="26"/>
      <c r="K12" s="26"/>
      <c r="L12" s="26"/>
      <c r="M12" s="26">
        <v>3</v>
      </c>
      <c r="N12" s="26"/>
      <c r="O12" s="26"/>
      <c r="P12" s="26"/>
      <c r="Q12" s="26"/>
      <c r="R12" s="26"/>
      <c r="S12" s="26"/>
      <c r="T12" s="26"/>
      <c r="U12" s="26"/>
      <c r="V12" s="26"/>
      <c r="W12" s="26">
        <v>9</v>
      </c>
      <c r="X12" s="26">
        <v>25</v>
      </c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4">
        <f t="shared" si="1"/>
        <v>37</v>
      </c>
      <c r="AK12" s="27">
        <f>PRODUCT(AJ12,100)/AJ10</f>
        <v>33.944954128440365</v>
      </c>
      <c r="AL12" s="18" t="s">
        <v>28</v>
      </c>
      <c r="AM12" s="38" t="s">
        <v>29</v>
      </c>
    </row>
    <row r="13" spans="1:39" ht="18" customHeight="1">
      <c r="A13" s="21"/>
      <c r="B13" s="25" t="s">
        <v>30</v>
      </c>
      <c r="C13" s="26"/>
      <c r="D13" s="26"/>
      <c r="E13" s="26"/>
      <c r="F13" s="26">
        <v>7</v>
      </c>
      <c r="G13" s="26">
        <v>4</v>
      </c>
      <c r="H13" s="26"/>
      <c r="I13" s="26"/>
      <c r="J13" s="26"/>
      <c r="K13" s="26"/>
      <c r="L13" s="26"/>
      <c r="M13" s="26">
        <v>3</v>
      </c>
      <c r="N13" s="26"/>
      <c r="O13" s="26"/>
      <c r="P13" s="26"/>
      <c r="Q13" s="26"/>
      <c r="R13" s="26"/>
      <c r="S13" s="26"/>
      <c r="T13" s="26"/>
      <c r="U13" s="26"/>
      <c r="V13" s="26"/>
      <c r="W13" s="26">
        <v>7</v>
      </c>
      <c r="X13" s="26">
        <v>2</v>
      </c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4">
        <f t="shared" si="1"/>
        <v>12</v>
      </c>
      <c r="AK13" s="27">
        <f>PRODUCT(AJ13,100)/AJ10</f>
        <v>11.009174311926605</v>
      </c>
      <c r="AL13" s="18" t="s">
        <v>28</v>
      </c>
      <c r="AM13" s="38" t="s">
        <v>30</v>
      </c>
    </row>
    <row r="14" spans="1:39" ht="18" customHeight="1">
      <c r="A14" s="21"/>
      <c r="B14" s="25" t="s">
        <v>31</v>
      </c>
      <c r="C14" s="26"/>
      <c r="D14" s="26"/>
      <c r="E14" s="26"/>
      <c r="F14" s="26">
        <v>24</v>
      </c>
      <c r="G14" s="26">
        <v>2</v>
      </c>
      <c r="H14" s="26"/>
      <c r="I14" s="26"/>
      <c r="J14" s="26"/>
      <c r="K14" s="26"/>
      <c r="L14" s="26"/>
      <c r="M14" s="26">
        <v>17</v>
      </c>
      <c r="N14" s="26"/>
      <c r="O14" s="26"/>
      <c r="P14" s="26"/>
      <c r="Q14" s="26"/>
      <c r="R14" s="26"/>
      <c r="S14" s="26"/>
      <c r="T14" s="26"/>
      <c r="U14" s="26"/>
      <c r="V14" s="26"/>
      <c r="W14" s="26">
        <v>1</v>
      </c>
      <c r="X14" s="26">
        <v>24</v>
      </c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4">
        <f t="shared" si="1"/>
        <v>42</v>
      </c>
      <c r="AK14" s="27">
        <f>PRODUCT(AJ14,100)/AJ9</f>
        <v>52.5</v>
      </c>
      <c r="AL14" s="18" t="s">
        <v>28</v>
      </c>
      <c r="AM14" s="38" t="s">
        <v>31</v>
      </c>
    </row>
    <row r="15" spans="1:39" ht="18" customHeight="1">
      <c r="A15" s="21"/>
      <c r="B15" s="25" t="s">
        <v>32</v>
      </c>
      <c r="C15" s="26"/>
      <c r="D15" s="26"/>
      <c r="E15" s="26"/>
      <c r="F15" s="26">
        <v>13</v>
      </c>
      <c r="G15" s="26">
        <v>0</v>
      </c>
      <c r="H15" s="26"/>
      <c r="I15" s="26"/>
      <c r="J15" s="26"/>
      <c r="K15" s="26"/>
      <c r="L15" s="26"/>
      <c r="M15" s="26">
        <v>7</v>
      </c>
      <c r="N15" s="26"/>
      <c r="O15" s="26"/>
      <c r="P15" s="26"/>
      <c r="Q15" s="26"/>
      <c r="R15" s="26"/>
      <c r="S15" s="26"/>
      <c r="T15" s="26"/>
      <c r="U15" s="26"/>
      <c r="V15" s="26"/>
      <c r="W15" s="26">
        <v>0</v>
      </c>
      <c r="X15" s="26">
        <v>1</v>
      </c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4">
        <f t="shared" si="1"/>
        <v>8</v>
      </c>
      <c r="AK15" s="27">
        <f>PRODUCT(AJ15,100)/AJ9</f>
        <v>10</v>
      </c>
      <c r="AL15" s="18" t="s">
        <v>28</v>
      </c>
      <c r="AM15" s="38" t="s">
        <v>32</v>
      </c>
    </row>
    <row r="16" spans="1:39" ht="18" customHeight="1">
      <c r="A16" s="21"/>
      <c r="B16" s="25" t="s">
        <v>33</v>
      </c>
      <c r="C16" s="26"/>
      <c r="D16" s="26"/>
      <c r="E16" s="26"/>
      <c r="F16" s="26">
        <v>1</v>
      </c>
      <c r="G16" s="26">
        <v>0</v>
      </c>
      <c r="H16" s="26"/>
      <c r="I16" s="26"/>
      <c r="J16" s="26"/>
      <c r="K16" s="26"/>
      <c r="L16" s="26"/>
      <c r="M16" s="26">
        <v>9</v>
      </c>
      <c r="N16" s="26"/>
      <c r="O16" s="26"/>
      <c r="P16" s="26"/>
      <c r="Q16" s="26"/>
      <c r="R16" s="26"/>
      <c r="S16" s="26"/>
      <c r="T16" s="26"/>
      <c r="U16" s="26"/>
      <c r="V16" s="26"/>
      <c r="W16" s="26">
        <v>1</v>
      </c>
      <c r="X16" s="26">
        <v>0</v>
      </c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4">
        <f t="shared" si="1"/>
        <v>10</v>
      </c>
      <c r="AK16" s="27">
        <f>PRODUCT(AJ16,100)/AJ9</f>
        <v>12.5</v>
      </c>
      <c r="AL16" s="18" t="s">
        <v>28</v>
      </c>
      <c r="AM16" s="38" t="s">
        <v>33</v>
      </c>
    </row>
    <row r="17" spans="1:39" ht="18" customHeight="1">
      <c r="A17" s="21"/>
      <c r="B17" s="25" t="s">
        <v>34</v>
      </c>
      <c r="C17" s="26"/>
      <c r="D17" s="26"/>
      <c r="E17" s="26"/>
      <c r="F17" s="26">
        <v>2</v>
      </c>
      <c r="G17" s="26">
        <v>0</v>
      </c>
      <c r="H17" s="26"/>
      <c r="I17" s="26"/>
      <c r="J17" s="26"/>
      <c r="K17" s="26"/>
      <c r="L17" s="26"/>
      <c r="M17" s="26">
        <v>0</v>
      </c>
      <c r="N17" s="26"/>
      <c r="O17" s="26"/>
      <c r="P17" s="26"/>
      <c r="Q17" s="26"/>
      <c r="R17" s="26"/>
      <c r="S17" s="26"/>
      <c r="T17" s="26"/>
      <c r="U17" s="26"/>
      <c r="V17" s="26"/>
      <c r="W17" s="26">
        <v>6</v>
      </c>
      <c r="X17" s="26">
        <v>0</v>
      </c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4">
        <f t="shared" si="1"/>
        <v>6</v>
      </c>
      <c r="AK17" s="27">
        <f>PRODUCT(AJ17,100)/AJ9</f>
        <v>7.5</v>
      </c>
      <c r="AL17" s="18" t="s">
        <v>28</v>
      </c>
      <c r="AM17" s="38" t="s">
        <v>34</v>
      </c>
    </row>
    <row r="18" spans="1:39" ht="18" customHeight="1">
      <c r="A18" s="21"/>
      <c r="B18" s="25" t="s">
        <v>35</v>
      </c>
      <c r="C18" s="26"/>
      <c r="D18" s="26"/>
      <c r="E18" s="26"/>
      <c r="F18" s="26">
        <v>22</v>
      </c>
      <c r="G18" s="26">
        <v>0</v>
      </c>
      <c r="H18" s="26"/>
      <c r="I18" s="26"/>
      <c r="J18" s="26"/>
      <c r="K18" s="26"/>
      <c r="L18" s="26"/>
      <c r="M18" s="26">
        <v>15</v>
      </c>
      <c r="N18" s="26"/>
      <c r="O18" s="26"/>
      <c r="P18" s="26"/>
      <c r="Q18" s="26"/>
      <c r="R18" s="26"/>
      <c r="S18" s="26"/>
      <c r="T18" s="26"/>
      <c r="U18" s="26"/>
      <c r="V18" s="26"/>
      <c r="W18" s="26">
        <v>9</v>
      </c>
      <c r="X18" s="26">
        <v>7</v>
      </c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4">
        <f t="shared" si="1"/>
        <v>31</v>
      </c>
      <c r="AK18" s="27">
        <f>PRODUCT(AJ18,100)/AJ9</f>
        <v>38.75</v>
      </c>
      <c r="AL18" s="18" t="s">
        <v>28</v>
      </c>
      <c r="AM18" s="38" t="s">
        <v>35</v>
      </c>
    </row>
    <row r="19" spans="1:39" ht="18" customHeight="1">
      <c r="A19" s="1"/>
      <c r="B19" s="8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4"/>
      <c r="AK19" s="1"/>
      <c r="AL19" s="1"/>
      <c r="AM19" s="1"/>
    </row>
    <row r="20" spans="1:39" ht="18" customHeight="1">
      <c r="A20" s="1"/>
      <c r="B20" s="8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4"/>
      <c r="AK20" s="1"/>
      <c r="AL20" s="1"/>
      <c r="AM20" s="1"/>
    </row>
    <row r="21" spans="1:39" ht="18" customHeight="1">
      <c r="A21" s="1"/>
      <c r="B21" s="8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4"/>
      <c r="AK21" s="1"/>
      <c r="AL21" s="1"/>
      <c r="AM21" s="1"/>
    </row>
    <row r="22" spans="1:39" ht="18" customHeight="1">
      <c r="A22" s="1"/>
      <c r="B22" s="8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4"/>
      <c r="AK22" s="1"/>
      <c r="AL22" s="1"/>
      <c r="AM22" s="1"/>
    </row>
    <row r="23" spans="1:39" ht="18" customHeight="1">
      <c r="A23" s="1"/>
      <c r="B23" s="8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4"/>
      <c r="AK23" s="1"/>
      <c r="AL23" s="1"/>
      <c r="AM23" s="1"/>
    </row>
    <row r="24" spans="1:39" ht="18" customHeight="1">
      <c r="A24" s="1"/>
      <c r="B24" s="8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4"/>
      <c r="AK24" s="1"/>
      <c r="AL24" s="1"/>
      <c r="AM24" s="1"/>
    </row>
    <row r="25" spans="1:39" ht="18" customHeight="1">
      <c r="A25" s="1"/>
      <c r="B25" s="8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4"/>
      <c r="AK25" s="1"/>
      <c r="AL25" s="1"/>
      <c r="AM25" s="1"/>
    </row>
    <row r="26" spans="1:39" ht="18" customHeight="1">
      <c r="A26" s="1"/>
      <c r="B26" s="8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4"/>
      <c r="AK26" s="1"/>
      <c r="AL26" s="1"/>
      <c r="AM26" s="1"/>
    </row>
    <row r="27" spans="1:39" ht="18" customHeight="1">
      <c r="A27" s="1"/>
      <c r="B27" s="8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4"/>
      <c r="AK27" s="1"/>
      <c r="AL27" s="1"/>
      <c r="AM27" s="1"/>
    </row>
    <row r="28" spans="1:39" ht="18" customHeight="1">
      <c r="A28" s="1"/>
      <c r="B28" s="8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4"/>
      <c r="AK28" s="1"/>
      <c r="AL28" s="1"/>
      <c r="AM28" s="1"/>
    </row>
    <row r="29" spans="1:39" ht="18" customHeight="1">
      <c r="A29" s="1"/>
      <c r="B29" s="8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4"/>
      <c r="AK29" s="1"/>
      <c r="AL29" s="1"/>
      <c r="AM29" s="1"/>
    </row>
    <row r="30" spans="1:39" ht="18" customHeight="1">
      <c r="A30" s="1"/>
      <c r="B30" s="8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4"/>
      <c r="AK30" s="1"/>
      <c r="AL30" s="1"/>
      <c r="AM30" s="1"/>
    </row>
    <row r="31" spans="1:39" ht="18" customHeight="1">
      <c r="A31" s="1"/>
      <c r="B31" s="8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4"/>
      <c r="AK31" s="1"/>
      <c r="AL31" s="1"/>
      <c r="AM31" s="1"/>
    </row>
    <row r="32" spans="1:39" ht="18" customHeight="1">
      <c r="A32" s="1"/>
      <c r="B32" s="8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4"/>
      <c r="AK32" s="1"/>
      <c r="AL32" s="1"/>
      <c r="AM32" s="1"/>
    </row>
    <row r="33" spans="1:39" ht="18" customHeight="1">
      <c r="A33" s="1"/>
      <c r="B33" s="8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4"/>
      <c r="AK33" s="1"/>
      <c r="AL33" s="1"/>
      <c r="AM33" s="1"/>
    </row>
    <row r="34" spans="1:39" ht="18" customHeight="1">
      <c r="A34" s="1"/>
      <c r="B34" s="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4"/>
      <c r="AK34" s="1"/>
      <c r="AL34" s="1"/>
      <c r="AM34" s="1"/>
    </row>
    <row r="35" spans="1:39" ht="18" customHeight="1">
      <c r="A35" s="1"/>
      <c r="B35" s="8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4"/>
      <c r="AK35" s="1"/>
      <c r="AL35" s="1"/>
      <c r="AM35" s="1"/>
    </row>
    <row r="36" spans="1:39" ht="18" customHeight="1">
      <c r="A36" s="1"/>
      <c r="B36" s="8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4"/>
      <c r="AK36" s="1"/>
      <c r="AL36" s="1"/>
      <c r="AM36" s="1"/>
    </row>
    <row r="37" spans="1:39" ht="18" customHeight="1">
      <c r="A37" s="1"/>
      <c r="B37" s="8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4"/>
      <c r="AK37" s="1"/>
      <c r="AL37" s="1"/>
      <c r="AM37" s="1"/>
    </row>
    <row r="38" spans="1:39" ht="18" customHeight="1">
      <c r="A38" s="1"/>
      <c r="B38" s="8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4"/>
      <c r="AK38" s="1"/>
      <c r="AL38" s="1"/>
      <c r="AM38" s="1"/>
    </row>
    <row r="39" spans="1:39" ht="18" customHeight="1">
      <c r="A39" s="1"/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4"/>
      <c r="AK39" s="1"/>
      <c r="AL39" s="1"/>
      <c r="AM39" s="1"/>
    </row>
    <row r="40" spans="1:39" ht="18" customHeight="1">
      <c r="A40" s="1"/>
      <c r="B40" s="8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4"/>
      <c r="AK40" s="1"/>
      <c r="AL40" s="1"/>
      <c r="AM40" s="1"/>
    </row>
    <row r="41" spans="1:39" ht="18" customHeight="1">
      <c r="A41" s="1"/>
      <c r="B41" s="8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4"/>
      <c r="AK41" s="1"/>
      <c r="AL41" s="1"/>
      <c r="AM41" s="1"/>
    </row>
    <row r="42" spans="1:39" ht="18" customHeight="1">
      <c r="A42" s="1"/>
      <c r="B42" s="8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4"/>
      <c r="AK42" s="1"/>
      <c r="AL42" s="1"/>
      <c r="AM42" s="1"/>
    </row>
    <row r="43" spans="1:39" ht="18" customHeight="1">
      <c r="A43" s="1"/>
      <c r="B43" s="8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4"/>
      <c r="AK43" s="1"/>
      <c r="AL43" s="1"/>
      <c r="AM43" s="1"/>
    </row>
    <row r="44" spans="1:39" ht="18" customHeight="1">
      <c r="A44" s="1"/>
      <c r="B44" s="8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4"/>
      <c r="AK44" s="1"/>
      <c r="AL44" s="1"/>
      <c r="AM44" s="1"/>
    </row>
    <row r="45" spans="1:39" ht="18" customHeight="1">
      <c r="A45" s="1"/>
      <c r="B45" s="8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4"/>
      <c r="AK45" s="1"/>
      <c r="AL45" s="1"/>
      <c r="AM45" s="1"/>
    </row>
    <row r="46" spans="1:39" ht="18" customHeight="1">
      <c r="A46" s="1"/>
      <c r="B46" s="8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4"/>
      <c r="AK46" s="1"/>
      <c r="AL46" s="1"/>
      <c r="AM46" s="1"/>
    </row>
    <row r="47" spans="1:39" ht="18" customHeight="1">
      <c r="A47" s="1"/>
      <c r="B47" s="8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4"/>
      <c r="AK47" s="1"/>
      <c r="AL47" s="1"/>
      <c r="AM47" s="1"/>
    </row>
    <row r="48" spans="1:39" ht="18" customHeight="1">
      <c r="A48" s="1"/>
      <c r="B48" s="8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4"/>
      <c r="AK48" s="1"/>
      <c r="AL48" s="1"/>
      <c r="AM48" s="1"/>
    </row>
    <row r="49" spans="1:39" ht="18" customHeight="1">
      <c r="A49" s="1"/>
      <c r="B49" s="8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4"/>
      <c r="AK49" s="1"/>
      <c r="AL49" s="1"/>
      <c r="AM49" s="1"/>
    </row>
    <row r="50" spans="1:39" ht="18" customHeight="1">
      <c r="A50" s="1"/>
      <c r="B50" s="8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4"/>
      <c r="AK50" s="1"/>
      <c r="AL50" s="1"/>
      <c r="AM50" s="1"/>
    </row>
    <row r="51" spans="1:39" ht="18" customHeight="1">
      <c r="A51" s="1"/>
      <c r="B51" s="8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4"/>
      <c r="AK51" s="1"/>
      <c r="AL51" s="1"/>
      <c r="AM51" s="1"/>
    </row>
    <row r="52" spans="1:39" ht="18" customHeight="1">
      <c r="A52" s="1"/>
      <c r="B52" s="8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4"/>
      <c r="AK52" s="1"/>
      <c r="AL52" s="1"/>
      <c r="AM52" s="1"/>
    </row>
    <row r="53" spans="1:39" ht="18" customHeight="1">
      <c r="A53" s="1"/>
      <c r="B53" s="8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4"/>
      <c r="AK53" s="1"/>
      <c r="AL53" s="1"/>
      <c r="AM53" s="1"/>
    </row>
    <row r="54" spans="1:39" ht="18" customHeight="1">
      <c r="A54" s="1"/>
      <c r="B54" s="8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4"/>
      <c r="AK54" s="1"/>
      <c r="AL54" s="1"/>
      <c r="AM54" s="1"/>
    </row>
    <row r="55" spans="1:39" ht="18" customHeight="1">
      <c r="A55" s="1"/>
      <c r="B55" s="8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4"/>
      <c r="AK55" s="1"/>
      <c r="AL55" s="1"/>
      <c r="AM55" s="1"/>
    </row>
    <row r="56" spans="1:39" ht="18" customHeight="1">
      <c r="A56" s="1"/>
      <c r="B56" s="8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4"/>
      <c r="AK56" s="1"/>
      <c r="AL56" s="1"/>
      <c r="AM56" s="1"/>
    </row>
    <row r="57" spans="1:39" ht="18" customHeight="1">
      <c r="A57" s="1"/>
      <c r="B57" s="8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4"/>
      <c r="AK57" s="1"/>
      <c r="AL57" s="1"/>
      <c r="AM57" s="1"/>
    </row>
    <row r="58" spans="1:39" ht="18" customHeight="1">
      <c r="A58" s="1"/>
      <c r="B58" s="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4"/>
      <c r="AK58" s="1"/>
      <c r="AL58" s="1"/>
      <c r="AM58" s="1"/>
    </row>
    <row r="59" spans="1:39" ht="18" customHeight="1">
      <c r="A59" s="1"/>
      <c r="B59" s="8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4"/>
      <c r="AK59" s="1"/>
      <c r="AL59" s="1"/>
      <c r="AM59" s="1"/>
    </row>
    <row r="60" spans="1:39" ht="18" customHeight="1">
      <c r="A60" s="1"/>
      <c r="B60" s="8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4"/>
      <c r="AK60" s="1"/>
      <c r="AL60" s="1"/>
      <c r="AM60" s="1"/>
    </row>
    <row r="61" spans="1:39" ht="18" customHeight="1">
      <c r="A61" s="1"/>
      <c r="B61" s="8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4"/>
      <c r="AK61" s="1"/>
      <c r="AL61" s="1"/>
      <c r="AM61" s="1"/>
    </row>
    <row r="62" spans="1:39" ht="18" customHeight="1">
      <c r="A62" s="1"/>
      <c r="B62" s="8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4"/>
      <c r="AK62" s="1"/>
      <c r="AL62" s="1"/>
      <c r="AM62" s="1"/>
    </row>
    <row r="63" spans="1:39" ht="18" customHeight="1">
      <c r="A63" s="1"/>
      <c r="B63" s="8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4"/>
      <c r="AK63" s="1"/>
      <c r="AL63" s="1"/>
      <c r="AM63" s="1"/>
    </row>
    <row r="64" spans="1:39" ht="18" customHeight="1">
      <c r="A64" s="1"/>
      <c r="B64" s="8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4"/>
      <c r="AK64" s="1"/>
      <c r="AL64" s="1"/>
      <c r="AM64" s="1"/>
    </row>
    <row r="65" spans="1:39" ht="18" customHeight="1">
      <c r="A65" s="1"/>
      <c r="B65" s="8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4"/>
      <c r="AK65" s="1"/>
      <c r="AL65" s="1"/>
      <c r="AM65" s="1"/>
    </row>
    <row r="66" spans="1:39" ht="18" customHeight="1">
      <c r="A66" s="1"/>
      <c r="B66" s="8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4"/>
      <c r="AK66" s="1"/>
      <c r="AL66" s="1"/>
      <c r="AM66" s="1"/>
    </row>
    <row r="67" spans="1:39" ht="18" customHeight="1">
      <c r="A67" s="1"/>
      <c r="B67" s="8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4"/>
      <c r="AK67" s="1"/>
      <c r="AL67" s="1"/>
      <c r="AM67" s="1"/>
    </row>
    <row r="68" spans="1:39" ht="18" customHeight="1">
      <c r="A68" s="1"/>
      <c r="B68" s="8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4"/>
      <c r="AK68" s="1"/>
      <c r="AL68" s="1"/>
      <c r="AM68" s="1"/>
    </row>
    <row r="69" spans="1:39" ht="18" customHeight="1">
      <c r="A69" s="1"/>
      <c r="B69" s="8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4"/>
      <c r="AK69" s="1"/>
      <c r="AL69" s="1"/>
      <c r="AM69" s="1"/>
    </row>
    <row r="70" spans="1:39" ht="18" customHeight="1">
      <c r="A70" s="1"/>
      <c r="B70" s="8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4"/>
      <c r="AK70" s="1"/>
      <c r="AL70" s="1"/>
      <c r="AM70" s="1"/>
    </row>
    <row r="71" spans="1:39" ht="18" customHeight="1">
      <c r="A71" s="1"/>
      <c r="B71" s="8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4"/>
      <c r="AK71" s="1"/>
      <c r="AL71" s="1"/>
      <c r="AM71" s="1"/>
    </row>
    <row r="72" spans="1:39" ht="18" customHeight="1">
      <c r="A72" s="1"/>
      <c r="B72" s="8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4"/>
      <c r="AK72" s="1"/>
      <c r="AL72" s="1"/>
      <c r="AM72" s="1"/>
    </row>
    <row r="73" spans="1:39" ht="18" customHeight="1">
      <c r="A73" s="1"/>
      <c r="B73" s="8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4"/>
      <c r="AK73" s="1"/>
      <c r="AL73" s="1"/>
      <c r="AM73" s="1"/>
    </row>
    <row r="74" spans="1:39" ht="18" customHeight="1">
      <c r="A74" s="1"/>
      <c r="B74" s="8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4"/>
      <c r="AK74" s="1"/>
      <c r="AL74" s="1"/>
      <c r="AM74" s="1"/>
    </row>
    <row r="75" spans="1:39" ht="18" customHeight="1">
      <c r="A75" s="1"/>
      <c r="B75" s="8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4"/>
      <c r="AK75" s="1"/>
      <c r="AL75" s="1"/>
      <c r="AM75" s="1"/>
    </row>
    <row r="76" spans="1:39" ht="18" customHeight="1">
      <c r="A76" s="1"/>
      <c r="B76" s="8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4"/>
      <c r="AK76" s="1"/>
      <c r="AL76" s="1"/>
      <c r="AM76" s="1"/>
    </row>
    <row r="77" spans="1:39" ht="18" customHeight="1">
      <c r="A77" s="1"/>
      <c r="B77" s="8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4"/>
      <c r="AK77" s="1"/>
      <c r="AL77" s="1"/>
      <c r="AM77" s="1"/>
    </row>
    <row r="78" spans="1:39" ht="18" customHeight="1">
      <c r="A78" s="1"/>
      <c r="B78" s="8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4"/>
      <c r="AK78" s="1"/>
      <c r="AL78" s="1"/>
      <c r="AM78" s="1"/>
    </row>
    <row r="79" spans="1:39" ht="18" customHeight="1">
      <c r="A79" s="1"/>
      <c r="B79" s="8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4"/>
      <c r="AK79" s="1"/>
      <c r="AL79" s="1"/>
      <c r="AM79" s="1"/>
    </row>
    <row r="80" spans="1:39" ht="18" customHeight="1">
      <c r="A80" s="1"/>
      <c r="B80" s="8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4"/>
      <c r="AK80" s="1"/>
      <c r="AL80" s="1"/>
      <c r="AM80" s="1"/>
    </row>
    <row r="81" spans="1:39" ht="18" customHeight="1">
      <c r="A81" s="1"/>
      <c r="B81" s="8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4"/>
      <c r="AK81" s="1"/>
      <c r="AL81" s="1"/>
      <c r="AM81" s="1"/>
    </row>
    <row r="82" spans="1:39" ht="18" customHeight="1">
      <c r="A82" s="1"/>
      <c r="B82" s="8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4"/>
      <c r="AK82" s="1"/>
      <c r="AL82" s="1"/>
      <c r="AM82" s="1"/>
    </row>
    <row r="83" spans="1:39" ht="18" customHeight="1">
      <c r="A83" s="1"/>
      <c r="B83" s="8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4"/>
      <c r="AK83" s="1"/>
      <c r="AL83" s="1"/>
      <c r="AM83" s="1"/>
    </row>
    <row r="84" spans="1:39" ht="18" customHeight="1">
      <c r="A84" s="1"/>
      <c r="B84" s="8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4"/>
      <c r="AK84" s="1"/>
      <c r="AL84" s="1"/>
      <c r="AM84" s="1"/>
    </row>
    <row r="85" spans="1:39" ht="18" customHeight="1">
      <c r="A85" s="1"/>
      <c r="B85" s="8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4"/>
      <c r="AK85" s="1"/>
      <c r="AL85" s="1"/>
      <c r="AM85" s="1"/>
    </row>
    <row r="86" spans="1:39" ht="18" customHeight="1">
      <c r="A86" s="1"/>
      <c r="B86" s="8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4"/>
      <c r="AK86" s="1"/>
      <c r="AL86" s="1"/>
      <c r="AM86" s="1"/>
    </row>
    <row r="87" spans="1:39" ht="18" customHeight="1">
      <c r="A87" s="1"/>
      <c r="B87" s="8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4"/>
      <c r="AK87" s="1"/>
      <c r="AL87" s="1"/>
      <c r="AM87" s="1"/>
    </row>
    <row r="88" spans="1:39" ht="18" customHeight="1">
      <c r="A88" s="1"/>
      <c r="B88" s="8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4"/>
      <c r="AK88" s="1"/>
      <c r="AL88" s="1"/>
      <c r="AM88" s="1"/>
    </row>
    <row r="89" spans="1:39" ht="18" customHeight="1">
      <c r="A89" s="1"/>
      <c r="B89" s="8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4"/>
      <c r="AK89" s="1"/>
      <c r="AL89" s="1"/>
      <c r="AM89" s="1"/>
    </row>
    <row r="90" spans="1:39" ht="18" customHeight="1">
      <c r="A90" s="1"/>
      <c r="B90" s="8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4"/>
      <c r="AK90" s="1"/>
      <c r="AL90" s="1"/>
      <c r="AM90" s="1"/>
    </row>
    <row r="91" spans="1:39" ht="18" customHeight="1">
      <c r="A91" s="1"/>
      <c r="B91" s="8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4"/>
      <c r="AK91" s="1"/>
      <c r="AL91" s="1"/>
      <c r="AM91" s="1"/>
    </row>
    <row r="92" spans="1:39" ht="18" customHeight="1">
      <c r="A92" s="1"/>
      <c r="B92" s="8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4"/>
      <c r="AK92" s="1"/>
      <c r="AL92" s="1"/>
      <c r="AM92" s="1"/>
    </row>
    <row r="93" spans="1:39" ht="18" customHeight="1">
      <c r="A93" s="1"/>
      <c r="B93" s="8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4"/>
      <c r="AK93" s="1"/>
      <c r="AL93" s="1"/>
      <c r="AM93" s="1"/>
    </row>
    <row r="94" spans="1:39" ht="18" customHeight="1">
      <c r="A94" s="1"/>
      <c r="B94" s="8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4"/>
      <c r="AK94" s="1"/>
      <c r="AL94" s="1"/>
      <c r="AM94" s="1"/>
    </row>
    <row r="95" spans="1:39" ht="18" customHeight="1">
      <c r="A95" s="1"/>
      <c r="B95" s="8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4"/>
      <c r="AK95" s="1"/>
      <c r="AL95" s="1"/>
      <c r="AM95" s="1"/>
    </row>
    <row r="96" spans="1:39" ht="18" customHeight="1">
      <c r="A96" s="1"/>
      <c r="B96" s="8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4"/>
      <c r="AK96" s="1"/>
      <c r="AL96" s="1"/>
      <c r="AM96" s="1"/>
    </row>
    <row r="97" spans="1:39" ht="18" customHeight="1">
      <c r="A97" s="1"/>
      <c r="B97" s="8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4"/>
      <c r="AK97" s="1"/>
      <c r="AL97" s="1"/>
      <c r="AM97" s="1"/>
    </row>
    <row r="98" spans="1:39" ht="18" customHeight="1">
      <c r="A98" s="1"/>
      <c r="B98" s="8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4"/>
      <c r="AK98" s="1"/>
      <c r="AL98" s="1"/>
      <c r="AM98" s="1"/>
    </row>
    <row r="99" spans="1:39" ht="18" customHeight="1">
      <c r="A99" s="1"/>
      <c r="B99" s="8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4"/>
      <c r="AK99" s="1"/>
      <c r="AL99" s="1"/>
      <c r="AM99" s="1"/>
    </row>
    <row r="100" spans="1:39" ht="18" customHeight="1">
      <c r="A100" s="1"/>
      <c r="B100" s="8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4"/>
      <c r="AK100" s="1"/>
      <c r="AL100" s="1"/>
      <c r="AM100" s="1"/>
    </row>
  </sheetData>
  <conditionalFormatting sqref="C5:AI18">
    <cfRule type="cellIs" dxfId="4" priority="1" operator="equal">
      <formula>0</formula>
    </cfRule>
  </conditionalFormatting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X97"/>
  <sheetViews>
    <sheetView tabSelected="1" workbookViewId="0">
      <pane xSplit="2" ySplit="2" topLeftCell="C3" activePane="bottomRight" state="frozen"/>
      <selection pane="topRight" activeCell="C1" sqref="C1"/>
      <selection pane="bottomLeft" activeCell="A6" sqref="A6"/>
      <selection pane="bottomRight" activeCell="C3" sqref="C3"/>
    </sheetView>
  </sheetViews>
  <sheetFormatPr baseColWidth="10" defaultColWidth="11.140625" defaultRowHeight="15" customHeight="1"/>
  <cols>
    <col min="1" max="1" width="3.28515625" customWidth="1"/>
    <col min="2" max="2" width="30.7109375" bestFit="1" customWidth="1"/>
    <col min="3" max="3" width="5.5703125" bestFit="1" customWidth="1"/>
    <col min="4" max="4" width="4" bestFit="1" customWidth="1"/>
    <col min="5" max="8" width="3.7109375" bestFit="1" customWidth="1"/>
    <col min="9" max="9" width="5.5703125" bestFit="1" customWidth="1"/>
    <col min="10" max="10" width="4" bestFit="1" customWidth="1"/>
    <col min="11" max="11" width="3.7109375" bestFit="1" customWidth="1"/>
    <col min="12" max="12" width="4" bestFit="1" customWidth="1"/>
    <col min="13" max="13" width="3.7109375" bestFit="1" customWidth="1"/>
    <col min="14" max="14" width="7.85546875" bestFit="1" customWidth="1"/>
    <col min="15" max="22" width="3.7109375" bestFit="1" customWidth="1"/>
    <col min="23" max="24" width="4" bestFit="1" customWidth="1"/>
    <col min="25" max="25" width="5.5703125" bestFit="1" customWidth="1"/>
    <col min="26" max="27" width="3.7109375" bestFit="1" customWidth="1"/>
    <col min="28" max="30" width="4" bestFit="1" customWidth="1"/>
    <col min="31" max="31" width="5.5703125" bestFit="1" customWidth="1"/>
    <col min="32" max="33" width="3.7109375" bestFit="1" customWidth="1"/>
    <col min="34" max="34" width="4" bestFit="1" customWidth="1"/>
    <col min="35" max="36" width="3.7109375" bestFit="1" customWidth="1"/>
    <col min="37" max="39" width="4" bestFit="1" customWidth="1"/>
    <col min="40" max="42" width="3.7109375" bestFit="1" customWidth="1"/>
    <col min="43" max="43" width="9.140625" bestFit="1" customWidth="1"/>
    <col min="44" max="44" width="5.5703125" bestFit="1" customWidth="1"/>
    <col min="45" max="45" width="4" bestFit="1" customWidth="1"/>
    <col min="46" max="46" width="7.5703125" bestFit="1" customWidth="1"/>
    <col min="47" max="47" width="3.7109375" bestFit="1" customWidth="1"/>
    <col min="48" max="48" width="6.5703125" bestFit="1" customWidth="1"/>
    <col min="49" max="50" width="3.7109375" bestFit="1" customWidth="1"/>
    <col min="51" max="54" width="4" bestFit="1" customWidth="1"/>
    <col min="55" max="56" width="3.7109375" bestFit="1" customWidth="1"/>
    <col min="57" max="58" width="4" bestFit="1" customWidth="1"/>
    <col min="59" max="60" width="3.7109375" bestFit="1" customWidth="1"/>
    <col min="61" max="61" width="4" bestFit="1" customWidth="1"/>
    <col min="62" max="62" width="5.5703125" bestFit="1" customWidth="1"/>
    <col min="63" max="65" width="4" bestFit="1" customWidth="1"/>
    <col min="66" max="67" width="3.7109375" bestFit="1" customWidth="1"/>
    <col min="68" max="68" width="4" bestFit="1" customWidth="1"/>
    <col min="69" max="70" width="3.7109375" bestFit="1" customWidth="1"/>
    <col min="71" max="71" width="4" bestFit="1" customWidth="1"/>
    <col min="72" max="74" width="3.7109375" bestFit="1" customWidth="1"/>
    <col min="75" max="75" width="4" bestFit="1" customWidth="1"/>
    <col min="76" max="76" width="9.140625" bestFit="1" customWidth="1"/>
    <col min="77" max="77" width="3.7109375" bestFit="1" customWidth="1"/>
    <col min="78" max="78" width="4" bestFit="1" customWidth="1"/>
    <col min="79" max="79" width="5.5703125" bestFit="1" customWidth="1"/>
    <col min="80" max="80" width="4" bestFit="1" customWidth="1"/>
    <col min="81" max="82" width="3.7109375" bestFit="1" customWidth="1"/>
    <col min="83" max="83" width="4" bestFit="1" customWidth="1"/>
    <col min="84" max="85" width="3.7109375" bestFit="1" customWidth="1"/>
    <col min="86" max="86" width="5.5703125" bestFit="1" customWidth="1"/>
    <col min="87" max="87" width="3.7109375" bestFit="1" customWidth="1"/>
    <col min="88" max="88" width="4" bestFit="1" customWidth="1"/>
    <col min="89" max="91" width="3.7109375" bestFit="1" customWidth="1"/>
    <col min="92" max="92" width="7.5703125" bestFit="1" customWidth="1"/>
    <col min="93" max="93" width="3.7109375" bestFit="1" customWidth="1"/>
    <col min="94" max="94" width="7.5703125" bestFit="1" customWidth="1"/>
    <col min="95" max="95" width="4" bestFit="1" customWidth="1"/>
    <col min="96" max="96" width="3.7109375" bestFit="1" customWidth="1"/>
    <col min="97" max="97" width="4" bestFit="1" customWidth="1"/>
    <col min="98" max="98" width="3.7109375" bestFit="1" customWidth="1"/>
    <col min="99" max="99" width="13.7109375" bestFit="1" customWidth="1"/>
    <col min="100" max="100" width="11" bestFit="1" customWidth="1"/>
    <col min="101" max="101" width="2.85546875" bestFit="1" customWidth="1"/>
    <col min="102" max="102" width="30.7109375" bestFit="1" customWidth="1"/>
  </cols>
  <sheetData>
    <row r="1" spans="1:102" ht="21" thickBot="1">
      <c r="A1" s="1"/>
      <c r="B1" s="6"/>
      <c r="C1" s="55" t="s">
        <v>0</v>
      </c>
      <c r="D1" s="54">
        <f>COUNT(C3:U3)</f>
        <v>19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1"/>
      <c r="V1" s="55" t="s">
        <v>0</v>
      </c>
      <c r="W1" s="53">
        <f>COUNT(V3:AY3)</f>
        <v>30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55" t="s">
        <v>0</v>
      </c>
      <c r="BA1" s="53">
        <f>COUNT(AZ3:BS3)</f>
        <v>20</v>
      </c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55" t="s">
        <v>0</v>
      </c>
      <c r="BO1" s="53">
        <f>COUNT(BT3:CT3)</f>
        <v>27</v>
      </c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1:102" ht="15" customHeight="1" thickBot="1">
      <c r="A2" s="1"/>
      <c r="B2" s="72" t="s">
        <v>147</v>
      </c>
      <c r="C2" s="59">
        <v>2022</v>
      </c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1"/>
      <c r="V2" s="59">
        <v>2023</v>
      </c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1"/>
      <c r="AZ2" s="59">
        <v>2024</v>
      </c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1"/>
      <c r="BT2" s="59">
        <v>2025</v>
      </c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1"/>
      <c r="CU2" s="6" t="s">
        <v>0</v>
      </c>
      <c r="CV2" s="50">
        <f>SUM(D1,W1,BA1,BO1)</f>
        <v>96</v>
      </c>
      <c r="CW2" s="1"/>
      <c r="CX2" s="1"/>
    </row>
    <row r="3" spans="1:102" ht="18">
      <c r="A3" s="13"/>
      <c r="B3" s="73" t="s">
        <v>21</v>
      </c>
      <c r="C3" s="62">
        <v>2229</v>
      </c>
      <c r="D3" s="56">
        <v>152</v>
      </c>
      <c r="E3" s="56">
        <v>16</v>
      </c>
      <c r="F3" s="56">
        <v>45</v>
      </c>
      <c r="G3" s="56">
        <v>2</v>
      </c>
      <c r="H3" s="56">
        <v>11</v>
      </c>
      <c r="I3" s="56">
        <v>4216</v>
      </c>
      <c r="J3" s="56">
        <v>382</v>
      </c>
      <c r="K3" s="56">
        <v>7</v>
      </c>
      <c r="L3" s="56">
        <v>895</v>
      </c>
      <c r="M3" s="56">
        <v>14</v>
      </c>
      <c r="N3" s="57">
        <v>1248376</v>
      </c>
      <c r="O3" s="56">
        <v>86</v>
      </c>
      <c r="P3" s="56">
        <v>46</v>
      </c>
      <c r="Q3" s="56">
        <v>12</v>
      </c>
      <c r="R3" s="56">
        <v>23</v>
      </c>
      <c r="S3" s="56">
        <v>28</v>
      </c>
      <c r="T3" s="58">
        <v>19</v>
      </c>
      <c r="U3" s="63">
        <v>28</v>
      </c>
      <c r="V3" s="62">
        <v>19</v>
      </c>
      <c r="W3" s="56">
        <v>468</v>
      </c>
      <c r="X3" s="56">
        <v>142</v>
      </c>
      <c r="Y3" s="56">
        <v>3442</v>
      </c>
      <c r="Z3" s="56">
        <v>35</v>
      </c>
      <c r="AA3" s="56">
        <v>68</v>
      </c>
      <c r="AB3" s="56">
        <v>122</v>
      </c>
      <c r="AC3" s="56">
        <v>237</v>
      </c>
      <c r="AD3" s="56">
        <v>531</v>
      </c>
      <c r="AE3" s="56">
        <v>1351</v>
      </c>
      <c r="AF3" s="56">
        <v>19</v>
      </c>
      <c r="AG3" s="56">
        <v>7</v>
      </c>
      <c r="AH3" s="56">
        <v>260</v>
      </c>
      <c r="AI3" s="56">
        <v>70</v>
      </c>
      <c r="AJ3" s="56">
        <v>47</v>
      </c>
      <c r="AK3" s="56">
        <v>359</v>
      </c>
      <c r="AL3" s="56">
        <v>373</v>
      </c>
      <c r="AM3" s="56">
        <v>480</v>
      </c>
      <c r="AN3" s="56">
        <v>85</v>
      </c>
      <c r="AO3" s="56">
        <v>6</v>
      </c>
      <c r="AP3" s="56">
        <v>20</v>
      </c>
      <c r="AQ3" s="56">
        <v>1569831</v>
      </c>
      <c r="AR3" s="56">
        <v>1395</v>
      </c>
      <c r="AS3" s="56">
        <v>197</v>
      </c>
      <c r="AT3" s="56">
        <v>114998</v>
      </c>
      <c r="AU3" s="56">
        <v>20</v>
      </c>
      <c r="AV3" s="56">
        <v>28595</v>
      </c>
      <c r="AW3" s="56">
        <v>94</v>
      </c>
      <c r="AX3" s="56">
        <v>41</v>
      </c>
      <c r="AY3" s="63">
        <v>178</v>
      </c>
      <c r="AZ3" s="62">
        <v>277</v>
      </c>
      <c r="BA3" s="56">
        <v>82</v>
      </c>
      <c r="BB3" s="56">
        <v>144</v>
      </c>
      <c r="BC3" s="56">
        <v>17</v>
      </c>
      <c r="BD3" s="56">
        <v>25</v>
      </c>
      <c r="BE3" s="56">
        <v>304</v>
      </c>
      <c r="BF3" s="56">
        <v>506</v>
      </c>
      <c r="BG3" s="56">
        <v>5</v>
      </c>
      <c r="BH3" s="56">
        <v>2</v>
      </c>
      <c r="BI3" s="56">
        <v>149</v>
      </c>
      <c r="BJ3" s="56">
        <v>5991</v>
      </c>
      <c r="BK3" s="56">
        <v>562</v>
      </c>
      <c r="BL3" s="56">
        <v>382</v>
      </c>
      <c r="BM3" s="56">
        <v>165</v>
      </c>
      <c r="BN3" s="56">
        <v>12</v>
      </c>
      <c r="BO3" s="56">
        <v>24</v>
      </c>
      <c r="BP3" s="56">
        <v>135</v>
      </c>
      <c r="BQ3" s="56">
        <v>7</v>
      </c>
      <c r="BR3" s="56">
        <v>14</v>
      </c>
      <c r="BS3" s="63">
        <v>196</v>
      </c>
      <c r="BT3" s="62">
        <v>1</v>
      </c>
      <c r="BU3" s="56">
        <v>22</v>
      </c>
      <c r="BV3" s="56">
        <v>67</v>
      </c>
      <c r="BW3" s="56">
        <v>878</v>
      </c>
      <c r="BX3" s="56">
        <v>1862222</v>
      </c>
      <c r="BY3" s="56">
        <v>16</v>
      </c>
      <c r="BZ3" s="56">
        <v>117</v>
      </c>
      <c r="CA3" s="56">
        <v>1252</v>
      </c>
      <c r="CB3" s="56">
        <v>272</v>
      </c>
      <c r="CC3" s="56">
        <v>16</v>
      </c>
      <c r="CD3" s="56">
        <v>4</v>
      </c>
      <c r="CE3" s="56">
        <v>415</v>
      </c>
      <c r="CF3" s="56">
        <v>26</v>
      </c>
      <c r="CG3" s="56">
        <v>27</v>
      </c>
      <c r="CH3" s="56">
        <v>2525</v>
      </c>
      <c r="CI3" s="56">
        <v>49</v>
      </c>
      <c r="CJ3" s="56">
        <v>133</v>
      </c>
      <c r="CK3" s="56">
        <v>20</v>
      </c>
      <c r="CL3" s="56">
        <v>16</v>
      </c>
      <c r="CM3" s="56">
        <v>0</v>
      </c>
      <c r="CN3" s="56">
        <v>198729</v>
      </c>
      <c r="CO3" s="56">
        <v>16</v>
      </c>
      <c r="CP3" s="56">
        <v>100936</v>
      </c>
      <c r="CQ3" s="56">
        <v>115</v>
      </c>
      <c r="CR3" s="56">
        <v>93</v>
      </c>
      <c r="CS3" s="56">
        <v>148</v>
      </c>
      <c r="CT3" s="63">
        <v>7</v>
      </c>
      <c r="CU3" s="17">
        <f>SUM(C3:CT3)</f>
        <v>5157198</v>
      </c>
      <c r="CV3" s="18"/>
      <c r="CW3" s="13"/>
      <c r="CX3" s="13"/>
    </row>
    <row r="4" spans="1:102" ht="18">
      <c r="A4" s="13"/>
      <c r="B4" s="74" t="s">
        <v>22</v>
      </c>
      <c r="C4" s="64">
        <v>1881</v>
      </c>
      <c r="D4" s="15">
        <v>45</v>
      </c>
      <c r="E4" s="15">
        <v>0</v>
      </c>
      <c r="F4" s="15">
        <v>0</v>
      </c>
      <c r="G4" s="15">
        <v>0</v>
      </c>
      <c r="H4" s="15">
        <v>1</v>
      </c>
      <c r="I4" s="15">
        <v>3059</v>
      </c>
      <c r="J4" s="15">
        <v>201</v>
      </c>
      <c r="K4" s="15">
        <v>5</v>
      </c>
      <c r="L4" s="15">
        <v>602</v>
      </c>
      <c r="M4" s="15">
        <v>1</v>
      </c>
      <c r="N4" s="15">
        <v>10</v>
      </c>
      <c r="O4" s="15">
        <v>30</v>
      </c>
      <c r="P4" s="15">
        <v>0</v>
      </c>
      <c r="Q4" s="15">
        <v>11</v>
      </c>
      <c r="R4" s="15">
        <v>10</v>
      </c>
      <c r="S4" s="15">
        <v>0</v>
      </c>
      <c r="T4" s="51">
        <v>0</v>
      </c>
      <c r="U4" s="65">
        <v>20</v>
      </c>
      <c r="V4" s="64">
        <v>8</v>
      </c>
      <c r="W4" s="15">
        <v>347</v>
      </c>
      <c r="X4" s="15">
        <v>0</v>
      </c>
      <c r="Y4" s="15">
        <v>0</v>
      </c>
      <c r="Z4" s="15">
        <v>35</v>
      </c>
      <c r="AA4" s="15">
        <v>1</v>
      </c>
      <c r="AB4" s="15">
        <v>118</v>
      </c>
      <c r="AC4" s="15">
        <v>168</v>
      </c>
      <c r="AD4" s="15">
        <v>34</v>
      </c>
      <c r="AE4" s="15">
        <v>1088</v>
      </c>
      <c r="AF4" s="15">
        <v>9</v>
      </c>
      <c r="AG4" s="15">
        <v>2</v>
      </c>
      <c r="AH4" s="15">
        <v>183</v>
      </c>
      <c r="AI4" s="15">
        <v>2</v>
      </c>
      <c r="AJ4" s="15">
        <v>35</v>
      </c>
      <c r="AK4" s="15">
        <v>188</v>
      </c>
      <c r="AL4" s="15">
        <v>0</v>
      </c>
      <c r="AM4" s="15">
        <v>257</v>
      </c>
      <c r="AN4" s="15">
        <v>3</v>
      </c>
      <c r="AO4" s="15">
        <v>4</v>
      </c>
      <c r="AP4" s="15">
        <v>6</v>
      </c>
      <c r="AQ4" s="15">
        <v>321467</v>
      </c>
      <c r="AR4" s="15">
        <v>621</v>
      </c>
      <c r="AS4" s="15">
        <v>17</v>
      </c>
      <c r="AT4" s="15">
        <v>110991</v>
      </c>
      <c r="AU4" s="15">
        <v>1</v>
      </c>
      <c r="AV4" s="15">
        <v>22675</v>
      </c>
      <c r="AW4" s="15">
        <v>8</v>
      </c>
      <c r="AX4" s="15">
        <v>9</v>
      </c>
      <c r="AY4" s="65">
        <v>146</v>
      </c>
      <c r="AZ4" s="64">
        <v>246</v>
      </c>
      <c r="BA4" s="15">
        <v>0</v>
      </c>
      <c r="BB4" s="15">
        <v>23</v>
      </c>
      <c r="BC4" s="15">
        <v>11</v>
      </c>
      <c r="BD4" s="15">
        <v>15</v>
      </c>
      <c r="BE4" s="15">
        <v>1</v>
      </c>
      <c r="BF4" s="15">
        <v>7</v>
      </c>
      <c r="BG4" s="15">
        <v>1</v>
      </c>
      <c r="BH4" s="15">
        <v>2</v>
      </c>
      <c r="BI4" s="15">
        <v>1</v>
      </c>
      <c r="BJ4" s="15">
        <v>5831</v>
      </c>
      <c r="BK4" s="15">
        <v>51</v>
      </c>
      <c r="BL4" s="15">
        <v>312</v>
      </c>
      <c r="BM4" s="15">
        <v>68</v>
      </c>
      <c r="BN4" s="15">
        <v>7</v>
      </c>
      <c r="BO4" s="15">
        <v>2</v>
      </c>
      <c r="BP4" s="15">
        <v>58</v>
      </c>
      <c r="BQ4" s="15">
        <v>1</v>
      </c>
      <c r="BR4" s="15">
        <v>13</v>
      </c>
      <c r="BS4" s="65">
        <v>6</v>
      </c>
      <c r="BT4" s="64">
        <v>1</v>
      </c>
      <c r="BU4" s="15">
        <v>14</v>
      </c>
      <c r="BV4" s="15">
        <v>58</v>
      </c>
      <c r="BW4" s="15">
        <v>783</v>
      </c>
      <c r="BX4" s="15">
        <v>12</v>
      </c>
      <c r="BY4" s="15">
        <v>9</v>
      </c>
      <c r="BZ4" s="15">
        <v>10</v>
      </c>
      <c r="CA4" s="15">
        <v>1061</v>
      </c>
      <c r="CB4" s="15">
        <v>86</v>
      </c>
      <c r="CC4" s="15">
        <v>4</v>
      </c>
      <c r="CD4" s="15">
        <v>4</v>
      </c>
      <c r="CE4" s="15">
        <v>358</v>
      </c>
      <c r="CF4" s="15">
        <v>12</v>
      </c>
      <c r="CG4" s="15">
        <v>8</v>
      </c>
      <c r="CH4" s="15">
        <v>1588</v>
      </c>
      <c r="CI4" s="15">
        <v>26</v>
      </c>
      <c r="CJ4" s="15">
        <v>62</v>
      </c>
      <c r="CK4" s="15">
        <v>4</v>
      </c>
      <c r="CL4" s="15">
        <v>9</v>
      </c>
      <c r="CM4" s="15">
        <v>3</v>
      </c>
      <c r="CN4" s="15">
        <v>163805</v>
      </c>
      <c r="CO4" s="15">
        <v>9</v>
      </c>
      <c r="CP4" s="15">
        <v>92068</v>
      </c>
      <c r="CQ4" s="15">
        <v>29</v>
      </c>
      <c r="CR4" s="15">
        <v>3</v>
      </c>
      <c r="CS4" s="15">
        <v>122</v>
      </c>
      <c r="CT4" s="65">
        <v>2</v>
      </c>
      <c r="CU4" s="17">
        <f>SUM(C4:CT4)</f>
        <v>731105</v>
      </c>
      <c r="CV4" s="18"/>
      <c r="CW4" s="13"/>
      <c r="CX4" s="13"/>
    </row>
    <row r="5" spans="1:102" ht="18">
      <c r="A5" s="13"/>
      <c r="B5" s="74" t="s">
        <v>23</v>
      </c>
      <c r="C5" s="64">
        <v>136</v>
      </c>
      <c r="D5" s="15">
        <v>0</v>
      </c>
      <c r="E5" s="15">
        <v>2</v>
      </c>
      <c r="F5" s="15">
        <v>27</v>
      </c>
      <c r="G5" s="15">
        <v>1</v>
      </c>
      <c r="H5" s="15">
        <v>3</v>
      </c>
      <c r="I5" s="15">
        <v>323</v>
      </c>
      <c r="J5" s="15">
        <v>181</v>
      </c>
      <c r="K5" s="15">
        <v>0</v>
      </c>
      <c r="L5" s="15">
        <v>13</v>
      </c>
      <c r="M5" s="15">
        <v>6</v>
      </c>
      <c r="N5" s="15">
        <v>3</v>
      </c>
      <c r="O5" s="15">
        <v>0</v>
      </c>
      <c r="P5" s="15">
        <v>40</v>
      </c>
      <c r="Q5" s="15">
        <v>1</v>
      </c>
      <c r="R5" s="15">
        <v>2</v>
      </c>
      <c r="S5" s="15">
        <v>9</v>
      </c>
      <c r="T5" s="51">
        <v>9</v>
      </c>
      <c r="U5" s="65">
        <v>4</v>
      </c>
      <c r="V5" s="64">
        <v>6</v>
      </c>
      <c r="W5" s="15">
        <v>121</v>
      </c>
      <c r="X5" s="15">
        <v>116</v>
      </c>
      <c r="Y5" s="15">
        <v>231</v>
      </c>
      <c r="Z5" s="15">
        <v>0</v>
      </c>
      <c r="AA5" s="15">
        <v>10</v>
      </c>
      <c r="AB5" s="15">
        <v>0</v>
      </c>
      <c r="AC5" s="15">
        <v>51</v>
      </c>
      <c r="AD5" s="15">
        <v>488</v>
      </c>
      <c r="AE5" s="15">
        <v>197</v>
      </c>
      <c r="AF5" s="15">
        <v>0</v>
      </c>
      <c r="AG5" s="15">
        <v>2</v>
      </c>
      <c r="AH5" s="15">
        <v>57</v>
      </c>
      <c r="AI5" s="15">
        <v>64</v>
      </c>
      <c r="AJ5" s="15">
        <v>4</v>
      </c>
      <c r="AK5" s="15">
        <v>168</v>
      </c>
      <c r="AL5" s="15">
        <v>100</v>
      </c>
      <c r="AM5" s="15">
        <v>54</v>
      </c>
      <c r="AN5" s="15">
        <v>77</v>
      </c>
      <c r="AO5" s="15">
        <v>0</v>
      </c>
      <c r="AP5" s="15">
        <v>8</v>
      </c>
      <c r="AQ5" s="15">
        <v>1085</v>
      </c>
      <c r="AR5" s="15">
        <v>97</v>
      </c>
      <c r="AS5" s="15">
        <v>0</v>
      </c>
      <c r="AT5" s="15">
        <v>596</v>
      </c>
      <c r="AU5" s="15">
        <v>13</v>
      </c>
      <c r="AV5" s="15">
        <v>1082</v>
      </c>
      <c r="AW5" s="15">
        <v>76</v>
      </c>
      <c r="AX5" s="15">
        <v>30</v>
      </c>
      <c r="AY5" s="65">
        <v>27</v>
      </c>
      <c r="AZ5" s="64">
        <v>31</v>
      </c>
      <c r="BA5" s="15">
        <v>79</v>
      </c>
      <c r="BB5" s="15">
        <v>119</v>
      </c>
      <c r="BC5" s="15">
        <v>6</v>
      </c>
      <c r="BD5" s="15">
        <v>10</v>
      </c>
      <c r="BE5" s="15">
        <v>303</v>
      </c>
      <c r="BF5" s="15">
        <v>480</v>
      </c>
      <c r="BG5" s="15">
        <v>2</v>
      </c>
      <c r="BH5" s="15">
        <v>0</v>
      </c>
      <c r="BI5" s="15">
        <v>55</v>
      </c>
      <c r="BJ5" s="15">
        <v>3</v>
      </c>
      <c r="BK5" s="15">
        <v>511</v>
      </c>
      <c r="BL5" s="15">
        <v>3</v>
      </c>
      <c r="BM5" s="15">
        <v>80</v>
      </c>
      <c r="BN5" s="15">
        <v>2</v>
      </c>
      <c r="BO5" s="15">
        <v>22</v>
      </c>
      <c r="BP5" s="15">
        <v>25</v>
      </c>
      <c r="BQ5" s="15">
        <v>4</v>
      </c>
      <c r="BR5" s="15">
        <v>1</v>
      </c>
      <c r="BS5" s="65">
        <v>190</v>
      </c>
      <c r="BT5" s="64">
        <v>0</v>
      </c>
      <c r="BU5" s="15">
        <v>4</v>
      </c>
      <c r="BV5" s="15">
        <v>1</v>
      </c>
      <c r="BW5" s="15">
        <v>80</v>
      </c>
      <c r="BX5" s="15">
        <v>14</v>
      </c>
      <c r="BY5" s="15">
        <v>3</v>
      </c>
      <c r="BZ5" s="15">
        <v>1</v>
      </c>
      <c r="CA5" s="15">
        <v>2</v>
      </c>
      <c r="CB5" s="15">
        <v>182</v>
      </c>
      <c r="CC5" s="15">
        <v>11</v>
      </c>
      <c r="CD5" s="15">
        <v>0</v>
      </c>
      <c r="CE5" s="15">
        <v>49</v>
      </c>
      <c r="CF5" s="15">
        <v>14</v>
      </c>
      <c r="CG5" s="15">
        <v>16</v>
      </c>
      <c r="CH5" s="15">
        <v>254</v>
      </c>
      <c r="CI5" s="15">
        <v>8</v>
      </c>
      <c r="CJ5" s="15">
        <v>66</v>
      </c>
      <c r="CK5" s="15">
        <v>13</v>
      </c>
      <c r="CL5" s="15">
        <v>5</v>
      </c>
      <c r="CM5" s="15">
        <v>0</v>
      </c>
      <c r="CN5" s="15">
        <v>9129</v>
      </c>
      <c r="CO5" s="15">
        <v>7</v>
      </c>
      <c r="CP5" s="15">
        <v>1702</v>
      </c>
      <c r="CQ5" s="15">
        <v>83</v>
      </c>
      <c r="CR5" s="15">
        <v>0</v>
      </c>
      <c r="CS5" s="15">
        <v>11</v>
      </c>
      <c r="CT5" s="65">
        <v>4</v>
      </c>
      <c r="CU5" s="17">
        <f>SUM(C5:CT5)</f>
        <v>19105</v>
      </c>
      <c r="CV5" s="18"/>
      <c r="CW5" s="13"/>
      <c r="CX5" s="13"/>
    </row>
    <row r="6" spans="1:102" ht="18">
      <c r="A6" s="13"/>
      <c r="B6" s="74" t="s">
        <v>24</v>
      </c>
      <c r="C6" s="64">
        <v>401</v>
      </c>
      <c r="D6" s="15">
        <v>9</v>
      </c>
      <c r="E6" s="15">
        <v>2</v>
      </c>
      <c r="F6" s="15">
        <v>25</v>
      </c>
      <c r="G6" s="15">
        <v>2</v>
      </c>
      <c r="H6" s="15">
        <v>4</v>
      </c>
      <c r="I6" s="15">
        <v>50</v>
      </c>
      <c r="J6" s="15">
        <v>10</v>
      </c>
      <c r="K6" s="15">
        <v>3</v>
      </c>
      <c r="L6" s="15">
        <v>4</v>
      </c>
      <c r="M6" s="15">
        <v>7</v>
      </c>
      <c r="N6" s="15">
        <v>13</v>
      </c>
      <c r="O6" s="15">
        <v>29</v>
      </c>
      <c r="P6" s="15">
        <v>34</v>
      </c>
      <c r="Q6" s="15">
        <v>8</v>
      </c>
      <c r="R6" s="15">
        <v>8</v>
      </c>
      <c r="S6" s="15">
        <v>8</v>
      </c>
      <c r="T6" s="51">
        <v>6</v>
      </c>
      <c r="U6" s="65">
        <v>4</v>
      </c>
      <c r="V6" s="64">
        <v>6</v>
      </c>
      <c r="W6" s="15">
        <v>28</v>
      </c>
      <c r="X6" s="15">
        <v>70</v>
      </c>
      <c r="Y6" s="15">
        <v>4</v>
      </c>
      <c r="Z6" s="15">
        <v>3</v>
      </c>
      <c r="AA6" s="15">
        <v>9</v>
      </c>
      <c r="AB6" s="15">
        <v>2</v>
      </c>
      <c r="AC6" s="15">
        <v>23</v>
      </c>
      <c r="AD6" s="15">
        <v>80</v>
      </c>
      <c r="AE6" s="15">
        <v>70</v>
      </c>
      <c r="AF6" s="15">
        <v>2</v>
      </c>
      <c r="AG6" s="15">
        <v>2</v>
      </c>
      <c r="AH6" s="15">
        <v>26</v>
      </c>
      <c r="AI6" s="15">
        <v>46</v>
      </c>
      <c r="AJ6" s="15">
        <v>3</v>
      </c>
      <c r="AK6" s="15">
        <v>43</v>
      </c>
      <c r="AL6" s="15">
        <v>100</v>
      </c>
      <c r="AM6" s="15">
        <v>11</v>
      </c>
      <c r="AN6" s="15">
        <v>43</v>
      </c>
      <c r="AO6" s="15">
        <v>4</v>
      </c>
      <c r="AP6" s="15">
        <v>8</v>
      </c>
      <c r="AQ6" s="15">
        <v>3</v>
      </c>
      <c r="AR6" s="15">
        <v>20</v>
      </c>
      <c r="AS6" s="15">
        <v>17</v>
      </c>
      <c r="AT6" s="15">
        <v>9</v>
      </c>
      <c r="AU6" s="15">
        <v>4</v>
      </c>
      <c r="AV6" s="15">
        <v>3</v>
      </c>
      <c r="AW6" s="15">
        <v>14</v>
      </c>
      <c r="AX6" s="15">
        <v>17</v>
      </c>
      <c r="AY6" s="65">
        <v>23</v>
      </c>
      <c r="AZ6" s="64">
        <v>5</v>
      </c>
      <c r="BA6" s="15">
        <v>67</v>
      </c>
      <c r="BB6" s="15">
        <v>69</v>
      </c>
      <c r="BC6" s="15">
        <v>3</v>
      </c>
      <c r="BD6" s="15">
        <v>9</v>
      </c>
      <c r="BE6" s="15">
        <v>32</v>
      </c>
      <c r="BF6" s="15">
        <v>50</v>
      </c>
      <c r="BG6" s="15">
        <v>3</v>
      </c>
      <c r="BH6" s="15">
        <v>1</v>
      </c>
      <c r="BI6" s="15">
        <v>40</v>
      </c>
      <c r="BJ6" s="15">
        <v>17</v>
      </c>
      <c r="BK6" s="15">
        <v>25</v>
      </c>
      <c r="BL6" s="15">
        <v>6</v>
      </c>
      <c r="BM6" s="15">
        <v>68</v>
      </c>
      <c r="BN6" s="15">
        <v>4</v>
      </c>
      <c r="BO6" s="15">
        <v>24</v>
      </c>
      <c r="BP6" s="15">
        <v>22</v>
      </c>
      <c r="BQ6" s="15">
        <v>1</v>
      </c>
      <c r="BR6" s="15">
        <v>8</v>
      </c>
      <c r="BS6" s="65">
        <v>10</v>
      </c>
      <c r="BT6" s="64">
        <v>1</v>
      </c>
      <c r="BU6" s="15">
        <v>4</v>
      </c>
      <c r="BV6" s="15">
        <v>16</v>
      </c>
      <c r="BW6" s="15">
        <v>25</v>
      </c>
      <c r="BX6" s="15">
        <v>12</v>
      </c>
      <c r="BY6" s="15">
        <v>5</v>
      </c>
      <c r="BZ6" s="15">
        <v>3</v>
      </c>
      <c r="CA6" s="15">
        <v>7</v>
      </c>
      <c r="CB6" s="15">
        <v>21</v>
      </c>
      <c r="CC6" s="15">
        <v>10</v>
      </c>
      <c r="CD6" s="15">
        <v>4</v>
      </c>
      <c r="CE6" s="15">
        <v>41</v>
      </c>
      <c r="CF6" s="15">
        <v>26</v>
      </c>
      <c r="CG6" s="15">
        <v>11</v>
      </c>
      <c r="CH6" s="15">
        <v>6</v>
      </c>
      <c r="CI6" s="15">
        <v>13</v>
      </c>
      <c r="CJ6" s="15">
        <v>20</v>
      </c>
      <c r="CK6" s="15">
        <v>9</v>
      </c>
      <c r="CL6" s="15">
        <v>6</v>
      </c>
      <c r="CM6" s="15">
        <v>3</v>
      </c>
      <c r="CN6" s="15">
        <v>10</v>
      </c>
      <c r="CO6" s="15">
        <v>3</v>
      </c>
      <c r="CP6" s="15">
        <v>11</v>
      </c>
      <c r="CQ6" s="15">
        <v>32</v>
      </c>
      <c r="CR6" s="15">
        <v>2</v>
      </c>
      <c r="CS6" s="15">
        <v>27</v>
      </c>
      <c r="CT6" s="65">
        <v>4</v>
      </c>
      <c r="CU6" s="17">
        <f t="shared" ref="CU6:CU16" si="0">SUM(C6:CT6)</f>
        <v>2116</v>
      </c>
      <c r="CV6" s="18"/>
      <c r="CW6" s="13"/>
      <c r="CX6" s="13"/>
    </row>
    <row r="7" spans="1:102" ht="18">
      <c r="A7" s="21"/>
      <c r="B7" s="75" t="s">
        <v>25</v>
      </c>
      <c r="C7" s="66">
        <v>401</v>
      </c>
      <c r="D7" s="26">
        <v>9</v>
      </c>
      <c r="E7" s="26">
        <v>2</v>
      </c>
      <c r="F7" s="26">
        <v>25</v>
      </c>
      <c r="G7" s="26">
        <v>2</v>
      </c>
      <c r="H7" s="26">
        <v>4</v>
      </c>
      <c r="I7" s="26">
        <v>50</v>
      </c>
      <c r="J7" s="26">
        <v>10</v>
      </c>
      <c r="K7" s="26">
        <v>3</v>
      </c>
      <c r="L7" s="26">
        <v>4</v>
      </c>
      <c r="M7" s="26">
        <v>7</v>
      </c>
      <c r="N7" s="26">
        <v>13</v>
      </c>
      <c r="O7" s="26">
        <v>29</v>
      </c>
      <c r="P7" s="26">
        <v>34</v>
      </c>
      <c r="Q7" s="26">
        <v>8</v>
      </c>
      <c r="R7" s="26">
        <v>8</v>
      </c>
      <c r="S7" s="26">
        <v>8</v>
      </c>
      <c r="T7" s="52">
        <v>6</v>
      </c>
      <c r="U7" s="67">
        <v>4</v>
      </c>
      <c r="V7" s="66">
        <v>6</v>
      </c>
      <c r="W7" s="26">
        <v>28</v>
      </c>
      <c r="X7" s="26">
        <v>70</v>
      </c>
      <c r="Y7" s="26">
        <v>4</v>
      </c>
      <c r="Z7" s="26">
        <v>3</v>
      </c>
      <c r="AA7" s="26">
        <v>9</v>
      </c>
      <c r="AB7" s="26">
        <v>2</v>
      </c>
      <c r="AC7" s="26">
        <v>23</v>
      </c>
      <c r="AD7" s="26">
        <v>80</v>
      </c>
      <c r="AE7" s="26">
        <v>69</v>
      </c>
      <c r="AF7" s="26">
        <v>2</v>
      </c>
      <c r="AG7" s="26">
        <v>2</v>
      </c>
      <c r="AH7" s="26">
        <v>26</v>
      </c>
      <c r="AI7" s="26">
        <v>46</v>
      </c>
      <c r="AJ7" s="26">
        <v>3</v>
      </c>
      <c r="AK7" s="26">
        <v>43</v>
      </c>
      <c r="AL7" s="26">
        <v>100</v>
      </c>
      <c r="AM7" s="26">
        <v>11</v>
      </c>
      <c r="AN7" s="26">
        <v>43</v>
      </c>
      <c r="AO7" s="26">
        <v>4</v>
      </c>
      <c r="AP7" s="26">
        <v>8</v>
      </c>
      <c r="AQ7" s="26">
        <v>3</v>
      </c>
      <c r="AR7" s="26">
        <v>21</v>
      </c>
      <c r="AS7" s="26">
        <v>17</v>
      </c>
      <c r="AT7" s="26">
        <v>9</v>
      </c>
      <c r="AU7" s="26">
        <v>4</v>
      </c>
      <c r="AV7" s="26">
        <v>3</v>
      </c>
      <c r="AW7" s="26">
        <v>14</v>
      </c>
      <c r="AX7" s="26">
        <v>17</v>
      </c>
      <c r="AY7" s="67">
        <v>23</v>
      </c>
      <c r="AZ7" s="66">
        <v>5</v>
      </c>
      <c r="BA7" s="26">
        <v>67</v>
      </c>
      <c r="BB7" s="26">
        <v>69</v>
      </c>
      <c r="BC7" s="26">
        <v>3</v>
      </c>
      <c r="BD7" s="26">
        <v>9</v>
      </c>
      <c r="BE7" s="26">
        <v>32</v>
      </c>
      <c r="BF7" s="26">
        <v>50</v>
      </c>
      <c r="BG7" s="26">
        <v>3</v>
      </c>
      <c r="BH7" s="26">
        <v>1</v>
      </c>
      <c r="BI7" s="26">
        <v>40</v>
      </c>
      <c r="BJ7" s="26">
        <v>17</v>
      </c>
      <c r="BK7" s="26">
        <v>26</v>
      </c>
      <c r="BL7" s="26">
        <v>6</v>
      </c>
      <c r="BM7" s="26">
        <v>68</v>
      </c>
      <c r="BN7" s="26">
        <v>4</v>
      </c>
      <c r="BO7" s="26">
        <v>24</v>
      </c>
      <c r="BP7" s="26">
        <v>10</v>
      </c>
      <c r="BQ7" s="26">
        <v>1</v>
      </c>
      <c r="BR7" s="26">
        <v>8</v>
      </c>
      <c r="BS7" s="67">
        <v>10</v>
      </c>
      <c r="BT7" s="66">
        <v>1</v>
      </c>
      <c r="BU7" s="26">
        <v>4</v>
      </c>
      <c r="BV7" s="26">
        <v>16</v>
      </c>
      <c r="BW7" s="26">
        <v>25</v>
      </c>
      <c r="BX7" s="26">
        <v>26</v>
      </c>
      <c r="BY7" s="26">
        <v>5</v>
      </c>
      <c r="BZ7" s="26">
        <v>3</v>
      </c>
      <c r="CA7" s="26">
        <v>7</v>
      </c>
      <c r="CB7" s="26">
        <v>21</v>
      </c>
      <c r="CC7" s="26">
        <v>10</v>
      </c>
      <c r="CD7" s="26">
        <v>1</v>
      </c>
      <c r="CE7" s="26">
        <v>41</v>
      </c>
      <c r="CF7" s="26">
        <v>26</v>
      </c>
      <c r="CG7" s="26">
        <v>11</v>
      </c>
      <c r="CH7" s="26">
        <v>6</v>
      </c>
      <c r="CI7" s="26">
        <v>13</v>
      </c>
      <c r="CJ7" s="26">
        <v>20</v>
      </c>
      <c r="CK7" s="26">
        <v>9</v>
      </c>
      <c r="CL7" s="26">
        <v>6</v>
      </c>
      <c r="CM7" s="26">
        <v>3</v>
      </c>
      <c r="CN7" s="26">
        <v>10</v>
      </c>
      <c r="CO7" s="26">
        <v>3</v>
      </c>
      <c r="CP7" s="26">
        <v>11</v>
      </c>
      <c r="CQ7" s="26">
        <v>32</v>
      </c>
      <c r="CR7" s="26">
        <v>2</v>
      </c>
      <c r="CS7" s="26">
        <v>23</v>
      </c>
      <c r="CT7" s="67">
        <v>4</v>
      </c>
      <c r="CU7" s="24">
        <f t="shared" si="0"/>
        <v>2112</v>
      </c>
      <c r="CV7" s="18"/>
      <c r="CW7" s="21"/>
      <c r="CX7" s="21"/>
    </row>
    <row r="8" spans="1:102" ht="18">
      <c r="A8" s="21"/>
      <c r="B8" s="75" t="s">
        <v>26</v>
      </c>
      <c r="C8" s="66">
        <v>427</v>
      </c>
      <c r="D8" s="26">
        <v>9</v>
      </c>
      <c r="E8" s="26">
        <v>4</v>
      </c>
      <c r="F8" s="26">
        <v>38</v>
      </c>
      <c r="G8" s="26">
        <v>4</v>
      </c>
      <c r="H8" s="26">
        <v>4</v>
      </c>
      <c r="I8" s="26">
        <v>73</v>
      </c>
      <c r="J8" s="26">
        <v>17</v>
      </c>
      <c r="K8" s="26">
        <v>4</v>
      </c>
      <c r="L8" s="26">
        <v>7</v>
      </c>
      <c r="M8" s="26">
        <v>14</v>
      </c>
      <c r="N8" s="26">
        <v>13</v>
      </c>
      <c r="O8" s="26">
        <v>32</v>
      </c>
      <c r="P8" s="26">
        <v>58</v>
      </c>
      <c r="Q8" s="26">
        <v>8</v>
      </c>
      <c r="R8" s="26">
        <v>10</v>
      </c>
      <c r="S8" s="26">
        <v>10</v>
      </c>
      <c r="T8" s="52">
        <v>10</v>
      </c>
      <c r="U8" s="67">
        <v>4</v>
      </c>
      <c r="V8" s="66">
        <v>8</v>
      </c>
      <c r="W8" s="26">
        <v>40</v>
      </c>
      <c r="X8" s="26">
        <v>112</v>
      </c>
      <c r="Y8" s="26">
        <v>4</v>
      </c>
      <c r="Z8" s="26">
        <v>3</v>
      </c>
      <c r="AA8" s="26">
        <v>14</v>
      </c>
      <c r="AB8" s="26">
        <v>2</v>
      </c>
      <c r="AC8" s="26">
        <v>43</v>
      </c>
      <c r="AD8" s="26">
        <v>139</v>
      </c>
      <c r="AE8" s="26">
        <v>110</v>
      </c>
      <c r="AF8" s="26">
        <v>2</v>
      </c>
      <c r="AG8" s="26">
        <v>2</v>
      </c>
      <c r="AH8" s="26">
        <v>45</v>
      </c>
      <c r="AI8" s="26">
        <v>89</v>
      </c>
      <c r="AJ8" s="26">
        <v>5</v>
      </c>
      <c r="AK8" s="26">
        <v>85</v>
      </c>
      <c r="AL8" s="26">
        <v>192</v>
      </c>
      <c r="AM8" s="26">
        <v>11</v>
      </c>
      <c r="AN8" s="26">
        <v>73</v>
      </c>
      <c r="AO8" s="26">
        <v>4</v>
      </c>
      <c r="AP8" s="26">
        <v>14</v>
      </c>
      <c r="AQ8" s="26">
        <v>4</v>
      </c>
      <c r="AR8" s="26">
        <v>36</v>
      </c>
      <c r="AS8" s="26">
        <v>24</v>
      </c>
      <c r="AT8" s="26">
        <v>10</v>
      </c>
      <c r="AU8" s="26">
        <v>8</v>
      </c>
      <c r="AV8" s="26">
        <v>4</v>
      </c>
      <c r="AW8" s="26">
        <v>22</v>
      </c>
      <c r="AX8" s="26">
        <v>29</v>
      </c>
      <c r="AY8" s="67">
        <v>40</v>
      </c>
      <c r="AZ8" s="66">
        <v>7</v>
      </c>
      <c r="BA8" s="26">
        <v>127</v>
      </c>
      <c r="BB8" s="26">
        <v>119</v>
      </c>
      <c r="BC8" s="26">
        <v>5</v>
      </c>
      <c r="BD8" s="26">
        <v>18</v>
      </c>
      <c r="BE8" s="26">
        <v>59</v>
      </c>
      <c r="BF8" s="26">
        <v>81</v>
      </c>
      <c r="BG8" s="26">
        <v>5</v>
      </c>
      <c r="BH8" s="26">
        <v>2</v>
      </c>
      <c r="BI8" s="26">
        <v>40</v>
      </c>
      <c r="BJ8" s="26">
        <v>17</v>
      </c>
      <c r="BK8" s="26">
        <v>48</v>
      </c>
      <c r="BL8" s="26">
        <v>7</v>
      </c>
      <c r="BM8" s="26">
        <v>115</v>
      </c>
      <c r="BN8" s="26">
        <v>4</v>
      </c>
      <c r="BO8" s="26">
        <v>42</v>
      </c>
      <c r="BP8" s="26">
        <v>32</v>
      </c>
      <c r="BQ8" s="26">
        <v>0</v>
      </c>
      <c r="BR8" s="26">
        <v>8</v>
      </c>
      <c r="BS8" s="67">
        <v>10</v>
      </c>
      <c r="BT8" s="66">
        <v>4</v>
      </c>
      <c r="BU8" s="26">
        <v>7</v>
      </c>
      <c r="BV8" s="26">
        <v>22</v>
      </c>
      <c r="BW8" s="26">
        <v>42</v>
      </c>
      <c r="BX8" s="26">
        <v>39</v>
      </c>
      <c r="BY8" s="26">
        <v>8</v>
      </c>
      <c r="BZ8" s="26">
        <v>4</v>
      </c>
      <c r="CA8" s="26">
        <v>10</v>
      </c>
      <c r="CB8" s="26">
        <v>42</v>
      </c>
      <c r="CC8" s="26">
        <v>17</v>
      </c>
      <c r="CD8" s="26">
        <v>2</v>
      </c>
      <c r="CE8" s="26">
        <v>59</v>
      </c>
      <c r="CF8" s="26">
        <v>39</v>
      </c>
      <c r="CG8" s="26">
        <v>21</v>
      </c>
      <c r="CH8" s="26">
        <v>10</v>
      </c>
      <c r="CI8" s="26">
        <v>23</v>
      </c>
      <c r="CJ8" s="26">
        <v>39</v>
      </c>
      <c r="CK8" s="26">
        <v>18</v>
      </c>
      <c r="CL8" s="26">
        <v>10</v>
      </c>
      <c r="CM8" s="26">
        <v>6</v>
      </c>
      <c r="CN8" s="26">
        <v>11</v>
      </c>
      <c r="CO8" s="26">
        <v>5</v>
      </c>
      <c r="CP8" s="26">
        <v>12</v>
      </c>
      <c r="CQ8" s="26">
        <v>54</v>
      </c>
      <c r="CR8" s="26">
        <v>2</v>
      </c>
      <c r="CS8" s="26">
        <v>37</v>
      </c>
      <c r="CT8" s="67">
        <v>8</v>
      </c>
      <c r="CU8" s="24">
        <f t="shared" si="0"/>
        <v>3217</v>
      </c>
      <c r="CV8" s="18"/>
      <c r="CW8" s="21"/>
      <c r="CX8" s="21"/>
    </row>
    <row r="9" spans="1:102" ht="18">
      <c r="A9" s="21"/>
      <c r="B9" s="75" t="s">
        <v>27</v>
      </c>
      <c r="C9" s="66">
        <v>406</v>
      </c>
      <c r="D9" s="26">
        <v>0</v>
      </c>
      <c r="E9" s="26">
        <v>1</v>
      </c>
      <c r="F9" s="26">
        <v>31</v>
      </c>
      <c r="G9" s="26">
        <v>4</v>
      </c>
      <c r="H9" s="26">
        <v>0</v>
      </c>
      <c r="I9" s="26">
        <v>60</v>
      </c>
      <c r="J9" s="26">
        <v>10</v>
      </c>
      <c r="K9" s="26">
        <v>1</v>
      </c>
      <c r="L9" s="26">
        <v>2</v>
      </c>
      <c r="M9" s="26">
        <v>4</v>
      </c>
      <c r="N9" s="26">
        <v>13</v>
      </c>
      <c r="O9" s="26">
        <v>0</v>
      </c>
      <c r="P9" s="26">
        <v>20</v>
      </c>
      <c r="Q9" s="26">
        <v>0</v>
      </c>
      <c r="R9" s="26">
        <v>8</v>
      </c>
      <c r="S9" s="26">
        <v>1</v>
      </c>
      <c r="T9" s="52">
        <v>1</v>
      </c>
      <c r="U9" s="67">
        <v>0</v>
      </c>
      <c r="V9" s="66">
        <v>3</v>
      </c>
      <c r="W9" s="26">
        <v>6</v>
      </c>
      <c r="X9" s="26">
        <v>40</v>
      </c>
      <c r="Y9" s="26">
        <v>0</v>
      </c>
      <c r="Z9" s="26">
        <v>1</v>
      </c>
      <c r="AA9" s="26">
        <v>5</v>
      </c>
      <c r="AB9" s="26">
        <v>0</v>
      </c>
      <c r="AC9" s="26">
        <v>17</v>
      </c>
      <c r="AD9" s="26">
        <v>96</v>
      </c>
      <c r="AE9" s="26">
        <v>93</v>
      </c>
      <c r="AF9" s="26">
        <v>0</v>
      </c>
      <c r="AG9" s="26">
        <v>0</v>
      </c>
      <c r="AH9" s="26">
        <v>31</v>
      </c>
      <c r="AI9" s="26">
        <v>61</v>
      </c>
      <c r="AJ9" s="26">
        <v>2</v>
      </c>
      <c r="AK9" s="26">
        <v>34</v>
      </c>
      <c r="AL9" s="26">
        <v>70</v>
      </c>
      <c r="AM9" s="26">
        <v>0</v>
      </c>
      <c r="AN9" s="26">
        <v>36</v>
      </c>
      <c r="AO9" s="26">
        <v>1</v>
      </c>
      <c r="AP9" s="26">
        <v>6</v>
      </c>
      <c r="AQ9" s="26">
        <v>2</v>
      </c>
      <c r="AR9" s="26">
        <v>16</v>
      </c>
      <c r="AS9" s="26">
        <v>5</v>
      </c>
      <c r="AT9" s="26">
        <v>1</v>
      </c>
      <c r="AU9" s="26">
        <v>3</v>
      </c>
      <c r="AV9" s="26">
        <v>3</v>
      </c>
      <c r="AW9" s="26">
        <v>8</v>
      </c>
      <c r="AX9" s="26">
        <v>11</v>
      </c>
      <c r="AY9" s="67">
        <v>31</v>
      </c>
      <c r="AZ9" s="66">
        <v>1</v>
      </c>
      <c r="BA9" s="26">
        <v>45</v>
      </c>
      <c r="BB9" s="26">
        <v>44</v>
      </c>
      <c r="BC9" s="26">
        <v>0</v>
      </c>
      <c r="BD9" s="26">
        <v>6</v>
      </c>
      <c r="BE9" s="26">
        <v>47</v>
      </c>
      <c r="BF9" s="26">
        <v>30</v>
      </c>
      <c r="BG9" s="26">
        <v>2</v>
      </c>
      <c r="BH9" s="26">
        <v>1</v>
      </c>
      <c r="BI9" s="26">
        <v>0</v>
      </c>
      <c r="BJ9" s="26">
        <v>0</v>
      </c>
      <c r="BK9" s="26">
        <v>26</v>
      </c>
      <c r="BL9" s="26">
        <v>0</v>
      </c>
      <c r="BM9" s="26">
        <v>34</v>
      </c>
      <c r="BN9" s="26">
        <v>4</v>
      </c>
      <c r="BO9" s="26">
        <v>17</v>
      </c>
      <c r="BP9" s="26">
        <v>8</v>
      </c>
      <c r="BQ9" s="26">
        <v>0</v>
      </c>
      <c r="BR9" s="26">
        <v>7</v>
      </c>
      <c r="BS9" s="67">
        <v>0</v>
      </c>
      <c r="BT9" s="66">
        <v>1</v>
      </c>
      <c r="BU9" s="26">
        <v>2</v>
      </c>
      <c r="BV9" s="26">
        <v>1</v>
      </c>
      <c r="BW9" s="26">
        <v>18</v>
      </c>
      <c r="BX9" s="26">
        <v>10</v>
      </c>
      <c r="BY9" s="26">
        <v>5</v>
      </c>
      <c r="BZ9" s="26">
        <v>3</v>
      </c>
      <c r="CA9" s="26">
        <v>2</v>
      </c>
      <c r="CB9" s="26">
        <v>24</v>
      </c>
      <c r="CC9" s="26">
        <v>5</v>
      </c>
      <c r="CD9" s="26">
        <v>1</v>
      </c>
      <c r="CE9" s="26">
        <v>13</v>
      </c>
      <c r="CF9" s="26">
        <v>10</v>
      </c>
      <c r="CG9" s="26">
        <v>10</v>
      </c>
      <c r="CH9" s="26">
        <v>2</v>
      </c>
      <c r="CI9" s="26">
        <v>10</v>
      </c>
      <c r="CJ9" s="26">
        <v>31</v>
      </c>
      <c r="CK9" s="26">
        <v>7</v>
      </c>
      <c r="CL9" s="26">
        <v>3</v>
      </c>
      <c r="CM9" s="26">
        <v>2</v>
      </c>
      <c r="CN9" s="26">
        <v>3</v>
      </c>
      <c r="CO9" s="26">
        <v>2</v>
      </c>
      <c r="CP9" s="26">
        <v>2</v>
      </c>
      <c r="CQ9" s="26">
        <v>42</v>
      </c>
      <c r="CR9" s="26">
        <v>2</v>
      </c>
      <c r="CS9" s="26">
        <v>8</v>
      </c>
      <c r="CT9" s="67">
        <v>3</v>
      </c>
      <c r="CU9" s="24">
        <f t="shared" si="0"/>
        <v>1638</v>
      </c>
      <c r="CV9" s="27">
        <f>PRODUCT(CU9,100)/CU8</f>
        <v>50.917003419334783</v>
      </c>
      <c r="CW9" s="18" t="s">
        <v>28</v>
      </c>
      <c r="CX9" s="38" t="s">
        <v>27</v>
      </c>
    </row>
    <row r="10" spans="1:102" ht="18">
      <c r="A10" s="21"/>
      <c r="B10" s="75" t="s">
        <v>29</v>
      </c>
      <c r="C10" s="66">
        <v>3</v>
      </c>
      <c r="D10" s="26">
        <v>9</v>
      </c>
      <c r="E10" s="26">
        <v>1</v>
      </c>
      <c r="F10" s="26">
        <v>4</v>
      </c>
      <c r="G10" s="26">
        <v>0</v>
      </c>
      <c r="H10" s="26">
        <v>4</v>
      </c>
      <c r="I10" s="26">
        <v>0</v>
      </c>
      <c r="J10" s="26">
        <v>0</v>
      </c>
      <c r="K10" s="26">
        <v>3</v>
      </c>
      <c r="L10" s="26">
        <v>3</v>
      </c>
      <c r="M10" s="26">
        <v>5</v>
      </c>
      <c r="N10" s="26">
        <v>0</v>
      </c>
      <c r="O10" s="26">
        <v>12</v>
      </c>
      <c r="P10" s="26">
        <v>27</v>
      </c>
      <c r="Q10" s="26">
        <v>3</v>
      </c>
      <c r="R10" s="26">
        <v>0</v>
      </c>
      <c r="S10" s="26">
        <v>6</v>
      </c>
      <c r="T10" s="52">
        <v>5</v>
      </c>
      <c r="U10" s="67">
        <v>4</v>
      </c>
      <c r="V10" s="66">
        <v>4</v>
      </c>
      <c r="W10" s="26">
        <v>26</v>
      </c>
      <c r="X10" s="26">
        <v>58</v>
      </c>
      <c r="Y10" s="26">
        <v>4</v>
      </c>
      <c r="Z10" s="26">
        <v>2</v>
      </c>
      <c r="AA10" s="26">
        <v>5</v>
      </c>
      <c r="AB10" s="26">
        <v>2</v>
      </c>
      <c r="AC10" s="26">
        <v>14</v>
      </c>
      <c r="AD10" s="26">
        <v>11</v>
      </c>
      <c r="AE10" s="26">
        <v>0</v>
      </c>
      <c r="AF10" s="26">
        <v>2</v>
      </c>
      <c r="AG10" s="26">
        <v>2</v>
      </c>
      <c r="AH10" s="26">
        <v>0</v>
      </c>
      <c r="AI10" s="26">
        <v>1</v>
      </c>
      <c r="AJ10" s="26">
        <v>3</v>
      </c>
      <c r="AK10" s="26">
        <v>33</v>
      </c>
      <c r="AL10" s="26">
        <v>76</v>
      </c>
      <c r="AM10" s="26">
        <v>11</v>
      </c>
      <c r="AN10" s="26">
        <v>12</v>
      </c>
      <c r="AO10" s="26">
        <v>3</v>
      </c>
      <c r="AP10" s="26">
        <v>3</v>
      </c>
      <c r="AQ10" s="26">
        <v>2</v>
      </c>
      <c r="AR10" s="26">
        <v>19</v>
      </c>
      <c r="AS10" s="26">
        <v>13</v>
      </c>
      <c r="AT10" s="26">
        <v>8</v>
      </c>
      <c r="AU10" s="26">
        <v>2</v>
      </c>
      <c r="AV10" s="26">
        <v>0</v>
      </c>
      <c r="AW10" s="26">
        <v>12</v>
      </c>
      <c r="AX10" s="26">
        <v>9</v>
      </c>
      <c r="AY10" s="67">
        <v>2</v>
      </c>
      <c r="AZ10" s="66">
        <v>4</v>
      </c>
      <c r="BA10" s="26">
        <v>41</v>
      </c>
      <c r="BB10" s="26">
        <v>48</v>
      </c>
      <c r="BC10" s="26">
        <v>3</v>
      </c>
      <c r="BD10" s="26">
        <v>4</v>
      </c>
      <c r="BE10" s="26">
        <v>3</v>
      </c>
      <c r="BF10" s="26">
        <v>44</v>
      </c>
      <c r="BG10" s="26">
        <v>2</v>
      </c>
      <c r="BH10" s="26">
        <v>0</v>
      </c>
      <c r="BI10" s="26">
        <v>40</v>
      </c>
      <c r="BJ10" s="26">
        <v>17</v>
      </c>
      <c r="BK10" s="26">
        <v>14</v>
      </c>
      <c r="BL10" s="26">
        <v>6</v>
      </c>
      <c r="BM10" s="26">
        <v>58</v>
      </c>
      <c r="BN10" s="26">
        <v>0</v>
      </c>
      <c r="BO10" s="26">
        <v>22</v>
      </c>
      <c r="BP10" s="26">
        <v>22</v>
      </c>
      <c r="BQ10" s="26">
        <v>0</v>
      </c>
      <c r="BR10" s="26">
        <v>1</v>
      </c>
      <c r="BS10" s="67">
        <v>10</v>
      </c>
      <c r="BT10" s="66">
        <v>0</v>
      </c>
      <c r="BU10" s="26">
        <v>2</v>
      </c>
      <c r="BV10" s="26">
        <v>20</v>
      </c>
      <c r="BW10" s="26">
        <v>19</v>
      </c>
      <c r="BX10" s="26">
        <v>26</v>
      </c>
      <c r="BY10" s="26">
        <v>0</v>
      </c>
      <c r="BZ10" s="26">
        <v>0</v>
      </c>
      <c r="CA10" s="26">
        <v>7</v>
      </c>
      <c r="CB10" s="26">
        <v>14</v>
      </c>
      <c r="CC10" s="26">
        <v>8</v>
      </c>
      <c r="CD10" s="26">
        <v>1</v>
      </c>
      <c r="CE10" s="26">
        <v>43</v>
      </c>
      <c r="CF10" s="26">
        <v>26</v>
      </c>
      <c r="CG10" s="26">
        <v>7</v>
      </c>
      <c r="CH10" s="26">
        <v>5</v>
      </c>
      <c r="CI10" s="26">
        <v>5</v>
      </c>
      <c r="CJ10" s="26">
        <v>2</v>
      </c>
      <c r="CK10" s="26">
        <v>7</v>
      </c>
      <c r="CL10" s="26">
        <v>6</v>
      </c>
      <c r="CM10" s="26">
        <v>3</v>
      </c>
      <c r="CN10" s="26">
        <v>8</v>
      </c>
      <c r="CO10" s="26">
        <v>2</v>
      </c>
      <c r="CP10" s="26">
        <v>10</v>
      </c>
      <c r="CQ10" s="26">
        <v>1</v>
      </c>
      <c r="CR10" s="26">
        <v>0</v>
      </c>
      <c r="CS10" s="26">
        <v>27</v>
      </c>
      <c r="CT10" s="67">
        <v>2</v>
      </c>
      <c r="CU10" s="24">
        <f t="shared" si="0"/>
        <v>1018</v>
      </c>
      <c r="CV10" s="27">
        <f>PRODUCT(CU10,100)/CU8</f>
        <v>31.644389182468139</v>
      </c>
      <c r="CW10" s="18" t="s">
        <v>28</v>
      </c>
      <c r="CX10" s="42" t="s">
        <v>29</v>
      </c>
    </row>
    <row r="11" spans="1:102" ht="18">
      <c r="A11" s="21"/>
      <c r="B11" s="75" t="s">
        <v>30</v>
      </c>
      <c r="C11" s="66">
        <v>18</v>
      </c>
      <c r="D11" s="26">
        <v>0</v>
      </c>
      <c r="E11" s="26">
        <v>2</v>
      </c>
      <c r="F11" s="26">
        <v>3</v>
      </c>
      <c r="G11" s="26">
        <v>0</v>
      </c>
      <c r="H11" s="26">
        <v>0</v>
      </c>
      <c r="I11" s="26">
        <v>13</v>
      </c>
      <c r="J11" s="26">
        <v>7</v>
      </c>
      <c r="K11" s="26">
        <v>0</v>
      </c>
      <c r="L11" s="26">
        <v>2</v>
      </c>
      <c r="M11" s="26">
        <v>5</v>
      </c>
      <c r="N11" s="26">
        <v>0</v>
      </c>
      <c r="O11" s="26">
        <v>20</v>
      </c>
      <c r="P11" s="26">
        <v>11</v>
      </c>
      <c r="Q11" s="26">
        <v>5</v>
      </c>
      <c r="R11" s="26">
        <v>2</v>
      </c>
      <c r="S11" s="26">
        <v>3</v>
      </c>
      <c r="T11" s="52">
        <v>4</v>
      </c>
      <c r="U11" s="67">
        <v>0</v>
      </c>
      <c r="V11" s="66">
        <v>1</v>
      </c>
      <c r="W11" s="26">
        <v>8</v>
      </c>
      <c r="X11" s="26">
        <v>14</v>
      </c>
      <c r="Y11" s="26">
        <v>0</v>
      </c>
      <c r="Z11" s="26">
        <v>0</v>
      </c>
      <c r="AA11" s="26">
        <v>4</v>
      </c>
      <c r="AB11" s="26">
        <v>0</v>
      </c>
      <c r="AC11" s="26">
        <v>12</v>
      </c>
      <c r="AD11" s="26">
        <v>32</v>
      </c>
      <c r="AE11" s="26">
        <v>17</v>
      </c>
      <c r="AF11" s="26">
        <v>0</v>
      </c>
      <c r="AG11" s="26">
        <v>0</v>
      </c>
      <c r="AH11" s="26">
        <v>14</v>
      </c>
      <c r="AI11" s="26">
        <v>27</v>
      </c>
      <c r="AJ11" s="26">
        <v>0</v>
      </c>
      <c r="AK11" s="26">
        <v>18</v>
      </c>
      <c r="AL11" s="26">
        <v>46</v>
      </c>
      <c r="AM11" s="26">
        <v>0</v>
      </c>
      <c r="AN11" s="26">
        <v>25</v>
      </c>
      <c r="AO11" s="26">
        <v>0</v>
      </c>
      <c r="AP11" s="26">
        <v>5</v>
      </c>
      <c r="AQ11" s="26">
        <v>0</v>
      </c>
      <c r="AR11" s="26">
        <v>1</v>
      </c>
      <c r="AS11" s="26">
        <v>5</v>
      </c>
      <c r="AT11" s="26">
        <v>1</v>
      </c>
      <c r="AU11" s="26">
        <v>3</v>
      </c>
      <c r="AV11" s="26">
        <v>1</v>
      </c>
      <c r="AW11" s="26">
        <v>2</v>
      </c>
      <c r="AX11" s="26">
        <v>9</v>
      </c>
      <c r="AY11" s="67">
        <v>7</v>
      </c>
      <c r="AZ11" s="66">
        <v>2</v>
      </c>
      <c r="BA11" s="26">
        <v>41</v>
      </c>
      <c r="BB11" s="26">
        <v>27</v>
      </c>
      <c r="BC11" s="26">
        <v>2</v>
      </c>
      <c r="BD11" s="26">
        <v>8</v>
      </c>
      <c r="BE11" s="26">
        <v>9</v>
      </c>
      <c r="BF11" s="26">
        <v>7</v>
      </c>
      <c r="BG11" s="26">
        <v>1</v>
      </c>
      <c r="BH11" s="26">
        <v>1</v>
      </c>
      <c r="BI11" s="26">
        <v>0</v>
      </c>
      <c r="BJ11" s="26">
        <v>0</v>
      </c>
      <c r="BK11" s="26">
        <v>8</v>
      </c>
      <c r="BL11" s="26">
        <v>1</v>
      </c>
      <c r="BM11" s="26">
        <v>23</v>
      </c>
      <c r="BN11" s="26">
        <v>0</v>
      </c>
      <c r="BO11" s="26">
        <v>3</v>
      </c>
      <c r="BP11" s="26">
        <v>2</v>
      </c>
      <c r="BQ11" s="26">
        <v>0</v>
      </c>
      <c r="BR11" s="26">
        <v>0</v>
      </c>
      <c r="BS11" s="67">
        <v>0</v>
      </c>
      <c r="BT11" s="66">
        <v>1</v>
      </c>
      <c r="BU11" s="26">
        <v>3</v>
      </c>
      <c r="BV11" s="26">
        <v>1</v>
      </c>
      <c r="BW11" s="26">
        <v>5</v>
      </c>
      <c r="BX11" s="26">
        <v>3</v>
      </c>
      <c r="BY11" s="26">
        <v>3</v>
      </c>
      <c r="BZ11" s="26">
        <v>1</v>
      </c>
      <c r="CA11" s="26">
        <v>1</v>
      </c>
      <c r="CB11" s="26">
        <v>4</v>
      </c>
      <c r="CC11" s="26">
        <v>4</v>
      </c>
      <c r="CD11" s="26">
        <v>0</v>
      </c>
      <c r="CE11" s="26">
        <v>3</v>
      </c>
      <c r="CF11" s="26">
        <v>3</v>
      </c>
      <c r="CG11" s="26">
        <v>4</v>
      </c>
      <c r="CH11" s="26">
        <v>3</v>
      </c>
      <c r="CI11" s="26">
        <v>8</v>
      </c>
      <c r="CJ11" s="26">
        <v>6</v>
      </c>
      <c r="CK11" s="26">
        <v>4</v>
      </c>
      <c r="CL11" s="26">
        <v>1</v>
      </c>
      <c r="CM11" s="26">
        <v>1</v>
      </c>
      <c r="CN11" s="26">
        <v>0</v>
      </c>
      <c r="CO11" s="26">
        <v>1</v>
      </c>
      <c r="CP11" s="26">
        <v>0</v>
      </c>
      <c r="CQ11" s="26">
        <v>11</v>
      </c>
      <c r="CR11" s="26">
        <v>0</v>
      </c>
      <c r="CS11" s="26">
        <v>2</v>
      </c>
      <c r="CT11" s="67">
        <v>3</v>
      </c>
      <c r="CU11" s="24">
        <f t="shared" si="0"/>
        <v>558</v>
      </c>
      <c r="CV11" s="27">
        <f>PRODUCT(CU11,100)/CU8</f>
        <v>17.345352813179982</v>
      </c>
      <c r="CW11" s="18" t="s">
        <v>28</v>
      </c>
      <c r="CX11" s="46" t="s">
        <v>30</v>
      </c>
    </row>
    <row r="12" spans="1:102" ht="18">
      <c r="A12" s="21"/>
      <c r="B12" s="75" t="s">
        <v>31</v>
      </c>
      <c r="C12" s="66">
        <v>0</v>
      </c>
      <c r="D12" s="26">
        <v>0</v>
      </c>
      <c r="E12" s="26">
        <v>0</v>
      </c>
      <c r="F12" s="26">
        <v>4</v>
      </c>
      <c r="G12" s="26">
        <v>2</v>
      </c>
      <c r="H12" s="26">
        <v>2</v>
      </c>
      <c r="I12" s="26">
        <v>0</v>
      </c>
      <c r="J12" s="26">
        <v>0</v>
      </c>
      <c r="K12" s="26">
        <v>0</v>
      </c>
      <c r="L12" s="26">
        <v>0</v>
      </c>
      <c r="M12" s="26">
        <v>0</v>
      </c>
      <c r="N12" s="26">
        <v>0</v>
      </c>
      <c r="O12" s="26">
        <v>1</v>
      </c>
      <c r="P12" s="26">
        <v>19</v>
      </c>
      <c r="Q12" s="26">
        <v>0</v>
      </c>
      <c r="R12" s="26">
        <v>0</v>
      </c>
      <c r="S12" s="26">
        <v>1</v>
      </c>
      <c r="T12" s="52">
        <v>1</v>
      </c>
      <c r="U12" s="67">
        <v>2</v>
      </c>
      <c r="V12" s="66">
        <v>1</v>
      </c>
      <c r="W12" s="26">
        <v>3</v>
      </c>
      <c r="X12" s="26">
        <v>36</v>
      </c>
      <c r="Y12" s="26">
        <v>0</v>
      </c>
      <c r="Z12" s="26">
        <v>0</v>
      </c>
      <c r="AA12" s="26">
        <v>1</v>
      </c>
      <c r="AB12" s="26">
        <v>0</v>
      </c>
      <c r="AC12" s="26">
        <v>11</v>
      </c>
      <c r="AD12" s="26">
        <v>20</v>
      </c>
      <c r="AE12" s="26">
        <v>0</v>
      </c>
      <c r="AF12" s="26">
        <v>2</v>
      </c>
      <c r="AG12" s="26">
        <v>1</v>
      </c>
      <c r="AH12" s="26">
        <v>8</v>
      </c>
      <c r="AI12" s="26">
        <v>8</v>
      </c>
      <c r="AJ12" s="26">
        <v>3</v>
      </c>
      <c r="AK12" s="26">
        <v>23</v>
      </c>
      <c r="AL12" s="26">
        <v>46</v>
      </c>
      <c r="AM12" s="26">
        <v>0</v>
      </c>
      <c r="AN12" s="26">
        <v>4</v>
      </c>
      <c r="AO12" s="26">
        <v>1</v>
      </c>
      <c r="AP12" s="26">
        <v>1</v>
      </c>
      <c r="AQ12" s="26">
        <v>1</v>
      </c>
      <c r="AR12" s="26">
        <v>0</v>
      </c>
      <c r="AS12" s="26">
        <v>15</v>
      </c>
      <c r="AT12" s="26">
        <v>0</v>
      </c>
      <c r="AU12" s="26">
        <v>1</v>
      </c>
      <c r="AV12" s="26">
        <v>0</v>
      </c>
      <c r="AW12" s="26">
        <v>11</v>
      </c>
      <c r="AX12" s="26">
        <v>7</v>
      </c>
      <c r="AY12" s="67">
        <v>18</v>
      </c>
      <c r="AZ12" s="66">
        <v>4</v>
      </c>
      <c r="BA12" s="26">
        <v>34</v>
      </c>
      <c r="BB12" s="26">
        <v>30</v>
      </c>
      <c r="BC12" s="26">
        <v>3</v>
      </c>
      <c r="BD12" s="26">
        <v>4</v>
      </c>
      <c r="BE12" s="26">
        <v>18</v>
      </c>
      <c r="BF12" s="26">
        <v>36</v>
      </c>
      <c r="BG12" s="26">
        <v>0</v>
      </c>
      <c r="BH12" s="26">
        <v>0</v>
      </c>
      <c r="BI12" s="26">
        <v>0</v>
      </c>
      <c r="BJ12" s="26">
        <v>0</v>
      </c>
      <c r="BK12" s="26">
        <v>12</v>
      </c>
      <c r="BL12" s="26">
        <v>6</v>
      </c>
      <c r="BM12" s="26">
        <v>53</v>
      </c>
      <c r="BN12" s="26">
        <v>0</v>
      </c>
      <c r="BO12" s="26">
        <v>21</v>
      </c>
      <c r="BP12" s="26">
        <v>21</v>
      </c>
      <c r="BQ12" s="26">
        <v>0</v>
      </c>
      <c r="BR12" s="26">
        <v>0</v>
      </c>
      <c r="BS12" s="67">
        <v>0</v>
      </c>
      <c r="BT12" s="66">
        <v>2</v>
      </c>
      <c r="BU12" s="26">
        <v>1</v>
      </c>
      <c r="BV12" s="26">
        <v>17</v>
      </c>
      <c r="BW12" s="26">
        <v>15</v>
      </c>
      <c r="BX12" s="26">
        <v>21</v>
      </c>
      <c r="BY12" s="26">
        <v>0</v>
      </c>
      <c r="BZ12" s="26">
        <v>0</v>
      </c>
      <c r="CA12" s="26">
        <v>0</v>
      </c>
      <c r="CB12" s="26">
        <v>18</v>
      </c>
      <c r="CC12" s="26">
        <v>7</v>
      </c>
      <c r="CD12" s="26">
        <v>1</v>
      </c>
      <c r="CE12" s="26">
        <v>31</v>
      </c>
      <c r="CF12" s="26">
        <v>21</v>
      </c>
      <c r="CG12" s="26">
        <v>5</v>
      </c>
      <c r="CH12" s="26">
        <v>2</v>
      </c>
      <c r="CI12" s="26">
        <v>11</v>
      </c>
      <c r="CJ12" s="26">
        <v>16</v>
      </c>
      <c r="CK12" s="26">
        <v>9</v>
      </c>
      <c r="CL12" s="26">
        <v>7</v>
      </c>
      <c r="CM12" s="26">
        <v>2</v>
      </c>
      <c r="CN12" s="26">
        <v>4</v>
      </c>
      <c r="CO12" s="26">
        <v>1</v>
      </c>
      <c r="CP12" s="26">
        <v>0</v>
      </c>
      <c r="CQ12" s="26">
        <v>12</v>
      </c>
      <c r="CR12" s="26">
        <v>0</v>
      </c>
      <c r="CS12" s="26">
        <v>22</v>
      </c>
      <c r="CT12" s="67">
        <v>2</v>
      </c>
      <c r="CU12" s="24">
        <f t="shared" si="0"/>
        <v>723</v>
      </c>
      <c r="CV12" s="27">
        <f>PRODUCT(CU12,100)/CU7</f>
        <v>34.232954545454547</v>
      </c>
      <c r="CW12" s="18" t="s">
        <v>28</v>
      </c>
      <c r="CX12" s="38" t="s">
        <v>31</v>
      </c>
    </row>
    <row r="13" spans="1:102" ht="18">
      <c r="A13" s="21"/>
      <c r="B13" s="75" t="s">
        <v>32</v>
      </c>
      <c r="C13" s="66">
        <v>0</v>
      </c>
      <c r="D13" s="26">
        <v>0</v>
      </c>
      <c r="E13" s="26">
        <v>0</v>
      </c>
      <c r="F13" s="26">
        <v>13</v>
      </c>
      <c r="G13" s="26">
        <v>0</v>
      </c>
      <c r="H13" s="26">
        <v>2</v>
      </c>
      <c r="I13" s="26">
        <v>0</v>
      </c>
      <c r="J13" s="26">
        <v>0</v>
      </c>
      <c r="K13" s="26">
        <v>3</v>
      </c>
      <c r="L13" s="26">
        <v>0</v>
      </c>
      <c r="M13" s="26">
        <v>2</v>
      </c>
      <c r="N13" s="26">
        <v>0</v>
      </c>
      <c r="O13" s="26">
        <v>0</v>
      </c>
      <c r="P13" s="26">
        <v>4</v>
      </c>
      <c r="Q13" s="26">
        <v>1</v>
      </c>
      <c r="R13" s="26">
        <v>0</v>
      </c>
      <c r="S13" s="26">
        <v>5</v>
      </c>
      <c r="T13" s="52">
        <v>3</v>
      </c>
      <c r="U13" s="67">
        <v>1</v>
      </c>
      <c r="V13" s="66">
        <v>3</v>
      </c>
      <c r="W13" s="26">
        <v>0</v>
      </c>
      <c r="X13" s="26">
        <v>14</v>
      </c>
      <c r="Y13" s="26">
        <v>0</v>
      </c>
      <c r="Z13" s="26">
        <v>0</v>
      </c>
      <c r="AA13" s="26">
        <v>1</v>
      </c>
      <c r="AB13" s="26">
        <v>0</v>
      </c>
      <c r="AC13" s="26">
        <v>3</v>
      </c>
      <c r="AD13" s="26">
        <v>15</v>
      </c>
      <c r="AE13" s="26">
        <v>2</v>
      </c>
      <c r="AF13" s="26">
        <v>0</v>
      </c>
      <c r="AG13" s="26">
        <v>0</v>
      </c>
      <c r="AH13" s="26">
        <v>0</v>
      </c>
      <c r="AI13" s="26">
        <v>7</v>
      </c>
      <c r="AJ13" s="26">
        <v>0</v>
      </c>
      <c r="AK13" s="26">
        <v>10</v>
      </c>
      <c r="AL13" s="26">
        <v>19</v>
      </c>
      <c r="AM13" s="26">
        <v>0</v>
      </c>
      <c r="AN13" s="26">
        <v>4</v>
      </c>
      <c r="AO13" s="26">
        <v>0</v>
      </c>
      <c r="AP13" s="26">
        <v>1</v>
      </c>
      <c r="AQ13" s="26">
        <v>0</v>
      </c>
      <c r="AR13" s="26">
        <v>19</v>
      </c>
      <c r="AS13" s="26">
        <v>0</v>
      </c>
      <c r="AT13" s="26">
        <v>1</v>
      </c>
      <c r="AU13" s="26">
        <v>1</v>
      </c>
      <c r="AV13" s="26">
        <v>0</v>
      </c>
      <c r="AW13" s="26">
        <v>2</v>
      </c>
      <c r="AX13" s="26">
        <v>1</v>
      </c>
      <c r="AY13" s="67">
        <v>2</v>
      </c>
      <c r="AZ13" s="66">
        <v>0</v>
      </c>
      <c r="BA13" s="26">
        <v>2</v>
      </c>
      <c r="BB13" s="26">
        <v>10</v>
      </c>
      <c r="BC13" s="26">
        <v>0</v>
      </c>
      <c r="BD13" s="26">
        <v>0</v>
      </c>
      <c r="BE13" s="26">
        <v>10</v>
      </c>
      <c r="BF13" s="26">
        <v>8</v>
      </c>
      <c r="BG13" s="26">
        <v>0</v>
      </c>
      <c r="BH13" s="26">
        <v>0</v>
      </c>
      <c r="BI13" s="26">
        <v>0</v>
      </c>
      <c r="BJ13" s="26">
        <v>0</v>
      </c>
      <c r="BK13" s="26">
        <v>2</v>
      </c>
      <c r="BL13" s="26">
        <v>0</v>
      </c>
      <c r="BM13" s="26">
        <v>0</v>
      </c>
      <c r="BN13" s="26">
        <v>0</v>
      </c>
      <c r="BO13" s="26">
        <v>0</v>
      </c>
      <c r="BP13" s="26">
        <v>0</v>
      </c>
      <c r="BQ13" s="26">
        <v>0</v>
      </c>
      <c r="BR13" s="26">
        <v>0</v>
      </c>
      <c r="BS13" s="67">
        <v>0</v>
      </c>
      <c r="BT13" s="66">
        <v>0</v>
      </c>
      <c r="BU13" s="26">
        <v>1</v>
      </c>
      <c r="BV13" s="26">
        <v>2</v>
      </c>
      <c r="BW13" s="26">
        <v>7</v>
      </c>
      <c r="BX13" s="26">
        <v>2</v>
      </c>
      <c r="BY13" s="26">
        <v>0</v>
      </c>
      <c r="BZ13" s="26">
        <v>2</v>
      </c>
      <c r="CA13" s="26">
        <v>0</v>
      </c>
      <c r="CB13" s="26">
        <v>1</v>
      </c>
      <c r="CC13" s="26">
        <v>1</v>
      </c>
      <c r="CD13" s="26">
        <v>0</v>
      </c>
      <c r="CE13" s="26">
        <v>8</v>
      </c>
      <c r="CF13" s="26">
        <v>2</v>
      </c>
      <c r="CG13" s="26">
        <v>1</v>
      </c>
      <c r="CH13" s="26">
        <v>0</v>
      </c>
      <c r="CI13" s="26">
        <v>0</v>
      </c>
      <c r="CJ13" s="26">
        <v>1</v>
      </c>
      <c r="CK13" s="26">
        <v>0</v>
      </c>
      <c r="CL13" s="26">
        <v>1</v>
      </c>
      <c r="CM13" s="26">
        <v>1</v>
      </c>
      <c r="CN13" s="26">
        <v>0</v>
      </c>
      <c r="CO13" s="26">
        <v>1</v>
      </c>
      <c r="CP13" s="26">
        <v>0</v>
      </c>
      <c r="CQ13" s="26">
        <v>3</v>
      </c>
      <c r="CR13" s="26">
        <v>0</v>
      </c>
      <c r="CS13" s="26">
        <v>1</v>
      </c>
      <c r="CT13" s="67">
        <v>0</v>
      </c>
      <c r="CU13" s="24">
        <f t="shared" si="0"/>
        <v>206</v>
      </c>
      <c r="CV13" s="27">
        <f>PRODUCT(CU13,100)/CU7</f>
        <v>9.7537878787878789</v>
      </c>
      <c r="CW13" s="18" t="s">
        <v>28</v>
      </c>
      <c r="CX13" s="38" t="s">
        <v>32</v>
      </c>
    </row>
    <row r="14" spans="1:102" ht="18">
      <c r="A14" s="21"/>
      <c r="B14" s="75" t="s">
        <v>33</v>
      </c>
      <c r="C14" s="66">
        <v>3</v>
      </c>
      <c r="D14" s="26">
        <v>1</v>
      </c>
      <c r="E14" s="26">
        <v>0</v>
      </c>
      <c r="F14" s="26">
        <v>10</v>
      </c>
      <c r="G14" s="26">
        <v>0</v>
      </c>
      <c r="H14" s="26">
        <v>0</v>
      </c>
      <c r="I14" s="26">
        <v>2</v>
      </c>
      <c r="J14" s="26">
        <v>0</v>
      </c>
      <c r="K14" s="26">
        <v>0</v>
      </c>
      <c r="L14" s="26">
        <v>0</v>
      </c>
      <c r="M14" s="26">
        <v>1</v>
      </c>
      <c r="N14" s="26">
        <v>0</v>
      </c>
      <c r="O14" s="26">
        <v>0</v>
      </c>
      <c r="P14" s="26">
        <v>1</v>
      </c>
      <c r="Q14" s="26">
        <v>2</v>
      </c>
      <c r="R14" s="26">
        <v>6</v>
      </c>
      <c r="S14" s="26">
        <v>2</v>
      </c>
      <c r="T14" s="52">
        <v>1</v>
      </c>
      <c r="U14" s="67">
        <v>3</v>
      </c>
      <c r="V14" s="66">
        <v>1</v>
      </c>
      <c r="W14" s="26">
        <v>0</v>
      </c>
      <c r="X14" s="26">
        <v>10</v>
      </c>
      <c r="Y14" s="26">
        <v>0</v>
      </c>
      <c r="Z14" s="26">
        <v>0</v>
      </c>
      <c r="AA14" s="26">
        <v>3</v>
      </c>
      <c r="AB14" s="26">
        <v>0</v>
      </c>
      <c r="AC14" s="26">
        <v>0</v>
      </c>
      <c r="AD14" s="26">
        <v>17</v>
      </c>
      <c r="AE14" s="26">
        <v>2</v>
      </c>
      <c r="AF14" s="26">
        <v>0</v>
      </c>
      <c r="AG14" s="26">
        <v>1</v>
      </c>
      <c r="AH14" s="26">
        <v>4</v>
      </c>
      <c r="AI14" s="26">
        <v>12</v>
      </c>
      <c r="AJ14" s="26">
        <v>0</v>
      </c>
      <c r="AK14" s="26">
        <v>3</v>
      </c>
      <c r="AL14" s="26">
        <v>3</v>
      </c>
      <c r="AM14" s="26">
        <v>0</v>
      </c>
      <c r="AN14" s="26">
        <v>1</v>
      </c>
      <c r="AO14" s="26">
        <v>0</v>
      </c>
      <c r="AP14" s="26">
        <v>1</v>
      </c>
      <c r="AQ14" s="26">
        <v>0</v>
      </c>
      <c r="AR14" s="26">
        <v>0</v>
      </c>
      <c r="AS14" s="26">
        <v>0</v>
      </c>
      <c r="AT14" s="26">
        <v>3</v>
      </c>
      <c r="AU14" s="26">
        <v>0</v>
      </c>
      <c r="AV14" s="26">
        <v>1</v>
      </c>
      <c r="AW14" s="26">
        <v>1</v>
      </c>
      <c r="AX14" s="26">
        <v>2</v>
      </c>
      <c r="AY14" s="67">
        <v>0</v>
      </c>
      <c r="AZ14" s="66">
        <v>0</v>
      </c>
      <c r="BA14" s="26">
        <v>1</v>
      </c>
      <c r="BB14" s="26">
        <v>7</v>
      </c>
      <c r="BC14" s="26">
        <v>0</v>
      </c>
      <c r="BD14" s="26">
        <v>0</v>
      </c>
      <c r="BE14" s="26">
        <v>7</v>
      </c>
      <c r="BF14" s="26">
        <v>4</v>
      </c>
      <c r="BG14" s="26">
        <v>1</v>
      </c>
      <c r="BH14" s="26">
        <v>0</v>
      </c>
      <c r="BI14" s="26">
        <v>0</v>
      </c>
      <c r="BJ14" s="26">
        <v>0</v>
      </c>
      <c r="BK14" s="26">
        <v>3</v>
      </c>
      <c r="BL14" s="26">
        <v>0</v>
      </c>
      <c r="BM14" s="26">
        <v>1</v>
      </c>
      <c r="BN14" s="26">
        <v>4</v>
      </c>
      <c r="BO14" s="26">
        <v>0</v>
      </c>
      <c r="BP14" s="26">
        <v>2</v>
      </c>
      <c r="BQ14" s="26">
        <v>0</v>
      </c>
      <c r="BR14" s="26">
        <v>0</v>
      </c>
      <c r="BS14" s="67">
        <v>0</v>
      </c>
      <c r="BT14" s="66">
        <v>0</v>
      </c>
      <c r="BU14" s="26">
        <v>0</v>
      </c>
      <c r="BV14" s="26">
        <v>1</v>
      </c>
      <c r="BW14" s="26">
        <v>1</v>
      </c>
      <c r="BX14" s="26">
        <v>3</v>
      </c>
      <c r="BY14" s="26">
        <v>2</v>
      </c>
      <c r="BZ14" s="26">
        <v>1</v>
      </c>
      <c r="CA14" s="26">
        <v>0</v>
      </c>
      <c r="CB14" s="26">
        <v>0</v>
      </c>
      <c r="CC14" s="26">
        <v>0</v>
      </c>
      <c r="CD14" s="26">
        <v>0</v>
      </c>
      <c r="CE14" s="26">
        <v>4</v>
      </c>
      <c r="CF14" s="26">
        <v>3</v>
      </c>
      <c r="CG14" s="26">
        <v>2</v>
      </c>
      <c r="CH14" s="26">
        <v>1</v>
      </c>
      <c r="CI14" s="26">
        <v>0</v>
      </c>
      <c r="CJ14" s="26">
        <v>2</v>
      </c>
      <c r="CK14" s="26">
        <v>0</v>
      </c>
      <c r="CL14" s="26">
        <v>0</v>
      </c>
      <c r="CM14" s="26">
        <v>0</v>
      </c>
      <c r="CN14" s="26">
        <v>1</v>
      </c>
      <c r="CO14" s="26">
        <v>0</v>
      </c>
      <c r="CP14" s="26">
        <v>0</v>
      </c>
      <c r="CQ14" s="26">
        <v>8</v>
      </c>
      <c r="CR14" s="26">
        <v>0</v>
      </c>
      <c r="CS14" s="26">
        <v>2</v>
      </c>
      <c r="CT14" s="67">
        <v>0</v>
      </c>
      <c r="CU14" s="24">
        <f t="shared" si="0"/>
        <v>158</v>
      </c>
      <c r="CV14" s="27">
        <f>PRODUCT(CU14,100)/CU7</f>
        <v>7.4810606060606064</v>
      </c>
      <c r="CW14" s="18" t="s">
        <v>28</v>
      </c>
      <c r="CX14" s="38" t="s">
        <v>33</v>
      </c>
    </row>
    <row r="15" spans="1:102" ht="18">
      <c r="A15" s="21"/>
      <c r="B15" s="75" t="s">
        <v>34</v>
      </c>
      <c r="C15" s="66">
        <v>22</v>
      </c>
      <c r="D15" s="26">
        <v>8</v>
      </c>
      <c r="E15" s="26">
        <v>0</v>
      </c>
      <c r="F15" s="26">
        <v>3</v>
      </c>
      <c r="G15" s="26">
        <v>0</v>
      </c>
      <c r="H15" s="26">
        <v>0</v>
      </c>
      <c r="I15" s="26">
        <v>37</v>
      </c>
      <c r="J15" s="26">
        <v>0</v>
      </c>
      <c r="K15" s="26">
        <v>0</v>
      </c>
      <c r="L15" s="26">
        <v>3</v>
      </c>
      <c r="M15" s="26">
        <v>3</v>
      </c>
      <c r="N15" s="26">
        <v>2</v>
      </c>
      <c r="O15" s="26">
        <v>0</v>
      </c>
      <c r="P15" s="26">
        <v>3</v>
      </c>
      <c r="Q15" s="26">
        <v>0</v>
      </c>
      <c r="R15" s="26">
        <v>0</v>
      </c>
      <c r="S15" s="26">
        <v>0</v>
      </c>
      <c r="T15" s="52">
        <v>0</v>
      </c>
      <c r="U15" s="67">
        <v>0</v>
      </c>
      <c r="V15" s="66">
        <v>0</v>
      </c>
      <c r="W15" s="26">
        <v>5</v>
      </c>
      <c r="X15" s="26">
        <v>4</v>
      </c>
      <c r="Y15" s="26">
        <v>4</v>
      </c>
      <c r="Z15" s="26">
        <v>0</v>
      </c>
      <c r="AA15" s="26">
        <v>2</v>
      </c>
      <c r="AB15" s="26">
        <v>0</v>
      </c>
      <c r="AC15" s="26">
        <v>1</v>
      </c>
      <c r="AD15" s="26">
        <v>16</v>
      </c>
      <c r="AE15" s="26">
        <v>18</v>
      </c>
      <c r="AF15" s="26">
        <v>0</v>
      </c>
      <c r="AG15" s="26">
        <v>0</v>
      </c>
      <c r="AH15" s="26">
        <v>4</v>
      </c>
      <c r="AI15" s="26">
        <v>9</v>
      </c>
      <c r="AJ15" s="26">
        <v>0</v>
      </c>
      <c r="AK15" s="26">
        <v>1</v>
      </c>
      <c r="AL15" s="26">
        <v>1</v>
      </c>
      <c r="AM15" s="26">
        <v>0</v>
      </c>
      <c r="AN15" s="26">
        <v>13</v>
      </c>
      <c r="AO15" s="26">
        <v>0</v>
      </c>
      <c r="AP15" s="26">
        <v>0</v>
      </c>
      <c r="AQ15" s="26">
        <v>0</v>
      </c>
      <c r="AR15" s="26">
        <v>0</v>
      </c>
      <c r="AS15" s="26">
        <v>0</v>
      </c>
      <c r="AT15" s="26">
        <v>1</v>
      </c>
      <c r="AU15" s="26">
        <v>0</v>
      </c>
      <c r="AV15" s="26">
        <v>0</v>
      </c>
      <c r="AW15" s="26">
        <v>0</v>
      </c>
      <c r="AX15" s="26">
        <v>2</v>
      </c>
      <c r="AY15" s="67">
        <v>0</v>
      </c>
      <c r="AZ15" s="66">
        <v>0</v>
      </c>
      <c r="BA15" s="26">
        <v>2</v>
      </c>
      <c r="BB15" s="26">
        <v>4</v>
      </c>
      <c r="BC15" s="26">
        <v>0</v>
      </c>
      <c r="BD15" s="26">
        <v>0</v>
      </c>
      <c r="BE15" s="26">
        <v>3</v>
      </c>
      <c r="BF15" s="26">
        <v>1</v>
      </c>
      <c r="BG15" s="26">
        <v>0</v>
      </c>
      <c r="BH15" s="26">
        <v>0</v>
      </c>
      <c r="BI15" s="26">
        <v>0</v>
      </c>
      <c r="BJ15" s="26">
        <v>0</v>
      </c>
      <c r="BK15" s="26">
        <v>1</v>
      </c>
      <c r="BL15" s="26">
        <v>0</v>
      </c>
      <c r="BM15" s="26">
        <v>1</v>
      </c>
      <c r="BN15" s="26">
        <v>0</v>
      </c>
      <c r="BO15" s="26">
        <v>1</v>
      </c>
      <c r="BP15" s="26">
        <v>0</v>
      </c>
      <c r="BQ15" s="26">
        <v>0</v>
      </c>
      <c r="BR15" s="26">
        <v>0</v>
      </c>
      <c r="BS15" s="67">
        <v>0</v>
      </c>
      <c r="BT15" s="66">
        <v>0</v>
      </c>
      <c r="BU15" s="26">
        <v>0</v>
      </c>
      <c r="BV15" s="26">
        <v>0</v>
      </c>
      <c r="BW15" s="26">
        <v>0</v>
      </c>
      <c r="BX15" s="26">
        <v>1</v>
      </c>
      <c r="BY15" s="26">
        <v>3</v>
      </c>
      <c r="BZ15" s="26">
        <v>0</v>
      </c>
      <c r="CA15" s="26">
        <v>0</v>
      </c>
      <c r="CB15" s="26">
        <v>0</v>
      </c>
      <c r="CC15" s="26">
        <v>2</v>
      </c>
      <c r="CD15" s="26">
        <v>0</v>
      </c>
      <c r="CE15" s="26">
        <v>1</v>
      </c>
      <c r="CF15" s="26">
        <v>1</v>
      </c>
      <c r="CG15" s="26">
        <v>0</v>
      </c>
      <c r="CH15" s="26">
        <v>2</v>
      </c>
      <c r="CI15" s="26">
        <v>1</v>
      </c>
      <c r="CJ15" s="26">
        <v>0</v>
      </c>
      <c r="CK15" s="26">
        <v>0</v>
      </c>
      <c r="CL15" s="26">
        <v>0</v>
      </c>
      <c r="CM15" s="26">
        <v>0</v>
      </c>
      <c r="CN15" s="26">
        <v>5</v>
      </c>
      <c r="CO15" s="26">
        <v>0</v>
      </c>
      <c r="CP15" s="26">
        <v>9</v>
      </c>
      <c r="CQ15" s="26">
        <v>7</v>
      </c>
      <c r="CR15" s="26">
        <v>0</v>
      </c>
      <c r="CS15" s="26">
        <v>2</v>
      </c>
      <c r="CT15" s="67">
        <v>0</v>
      </c>
      <c r="CU15" s="24">
        <f t="shared" si="0"/>
        <v>209</v>
      </c>
      <c r="CV15" s="27">
        <f>PRODUCT(CU15,100)/CU7</f>
        <v>9.8958333333333339</v>
      </c>
      <c r="CW15" s="18" t="s">
        <v>28</v>
      </c>
      <c r="CX15" s="38" t="s">
        <v>34</v>
      </c>
    </row>
    <row r="16" spans="1:102" ht="18.75" thickBot="1">
      <c r="A16" s="21"/>
      <c r="B16" s="76" t="s">
        <v>35</v>
      </c>
      <c r="C16" s="68">
        <v>384</v>
      </c>
      <c r="D16" s="69">
        <v>0</v>
      </c>
      <c r="E16" s="69">
        <v>2</v>
      </c>
      <c r="F16" s="69">
        <v>5</v>
      </c>
      <c r="G16" s="69">
        <v>2</v>
      </c>
      <c r="H16" s="69">
        <v>0</v>
      </c>
      <c r="I16" s="69">
        <v>22</v>
      </c>
      <c r="J16" s="69">
        <v>10</v>
      </c>
      <c r="K16" s="69">
        <v>1</v>
      </c>
      <c r="L16" s="69">
        <v>2</v>
      </c>
      <c r="M16" s="69">
        <v>3</v>
      </c>
      <c r="N16" s="69">
        <v>11</v>
      </c>
      <c r="O16" s="69">
        <v>0</v>
      </c>
      <c r="P16" s="69">
        <v>18</v>
      </c>
      <c r="Q16" s="69">
        <v>0</v>
      </c>
      <c r="R16" s="69">
        <v>2</v>
      </c>
      <c r="S16" s="69">
        <v>1</v>
      </c>
      <c r="T16" s="70">
        <v>1</v>
      </c>
      <c r="U16" s="71">
        <v>0</v>
      </c>
      <c r="V16" s="68">
        <v>2</v>
      </c>
      <c r="W16" s="69">
        <v>25</v>
      </c>
      <c r="X16" s="69">
        <v>34</v>
      </c>
      <c r="Y16" s="69">
        <v>0</v>
      </c>
      <c r="Z16" s="69">
        <v>3</v>
      </c>
      <c r="AA16" s="69">
        <v>2</v>
      </c>
      <c r="AB16" s="69">
        <v>2</v>
      </c>
      <c r="AC16" s="69">
        <v>15</v>
      </c>
      <c r="AD16" s="69">
        <v>39</v>
      </c>
      <c r="AE16" s="69">
        <v>70</v>
      </c>
      <c r="AF16" s="69">
        <v>0</v>
      </c>
      <c r="AG16" s="69">
        <v>0</v>
      </c>
      <c r="AH16" s="69">
        <v>15</v>
      </c>
      <c r="AI16" s="69">
        <v>26</v>
      </c>
      <c r="AJ16" s="69">
        <v>2</v>
      </c>
      <c r="AK16" s="69">
        <v>30</v>
      </c>
      <c r="AL16" s="69">
        <v>72</v>
      </c>
      <c r="AM16" s="69">
        <v>11</v>
      </c>
      <c r="AN16" s="69">
        <v>26</v>
      </c>
      <c r="AO16" s="69">
        <v>3</v>
      </c>
      <c r="AP16" s="69">
        <v>6</v>
      </c>
      <c r="AQ16" s="69">
        <v>3</v>
      </c>
      <c r="AR16" s="69">
        <v>16</v>
      </c>
      <c r="AS16" s="69">
        <v>4</v>
      </c>
      <c r="AT16" s="69">
        <v>4</v>
      </c>
      <c r="AU16" s="69">
        <v>3</v>
      </c>
      <c r="AV16" s="69">
        <v>3</v>
      </c>
      <c r="AW16" s="69">
        <v>6</v>
      </c>
      <c r="AX16" s="69">
        <v>7</v>
      </c>
      <c r="AY16" s="71">
        <v>13</v>
      </c>
      <c r="AZ16" s="68">
        <v>1</v>
      </c>
      <c r="BA16" s="69">
        <v>47</v>
      </c>
      <c r="BB16" s="69">
        <v>42</v>
      </c>
      <c r="BC16" s="69">
        <v>0</v>
      </c>
      <c r="BD16" s="69">
        <v>6</v>
      </c>
      <c r="BE16" s="69">
        <v>13</v>
      </c>
      <c r="BF16" s="69">
        <v>1</v>
      </c>
      <c r="BG16" s="69">
        <v>3</v>
      </c>
      <c r="BH16" s="69">
        <v>1</v>
      </c>
      <c r="BI16" s="69">
        <v>40</v>
      </c>
      <c r="BJ16" s="69">
        <v>17</v>
      </c>
      <c r="BK16" s="69">
        <v>22</v>
      </c>
      <c r="BL16" s="69">
        <v>0</v>
      </c>
      <c r="BM16" s="69">
        <v>10</v>
      </c>
      <c r="BN16" s="69">
        <v>0</v>
      </c>
      <c r="BO16" s="69">
        <v>17</v>
      </c>
      <c r="BP16" s="69">
        <v>7</v>
      </c>
      <c r="BQ16" s="69">
        <v>1</v>
      </c>
      <c r="BR16" s="69">
        <v>8</v>
      </c>
      <c r="BS16" s="71">
        <v>10</v>
      </c>
      <c r="BT16" s="68">
        <v>1</v>
      </c>
      <c r="BU16" s="69">
        <v>2</v>
      </c>
      <c r="BV16" s="69">
        <v>1</v>
      </c>
      <c r="BW16" s="69">
        <v>14</v>
      </c>
      <c r="BX16" s="69">
        <v>10</v>
      </c>
      <c r="BY16" s="69">
        <v>0</v>
      </c>
      <c r="BZ16" s="69">
        <v>0</v>
      </c>
      <c r="CA16" s="69">
        <v>10</v>
      </c>
      <c r="CB16" s="69">
        <v>18</v>
      </c>
      <c r="CC16" s="69">
        <v>3</v>
      </c>
      <c r="CD16" s="69">
        <v>1</v>
      </c>
      <c r="CE16" s="69">
        <v>12</v>
      </c>
      <c r="CF16" s="69">
        <v>10</v>
      </c>
      <c r="CG16" s="69">
        <v>9</v>
      </c>
      <c r="CH16" s="69">
        <v>2</v>
      </c>
      <c r="CI16" s="69">
        <v>3</v>
      </c>
      <c r="CJ16" s="69">
        <v>14</v>
      </c>
      <c r="CK16" s="69">
        <v>6</v>
      </c>
      <c r="CL16" s="69">
        <v>1</v>
      </c>
      <c r="CM16" s="69">
        <v>2</v>
      </c>
      <c r="CN16" s="69">
        <v>1</v>
      </c>
      <c r="CO16" s="69">
        <v>2</v>
      </c>
      <c r="CP16" s="69">
        <v>3</v>
      </c>
      <c r="CQ16" s="69">
        <v>14</v>
      </c>
      <c r="CR16" s="69">
        <v>2</v>
      </c>
      <c r="CS16" s="69">
        <v>8</v>
      </c>
      <c r="CT16" s="71">
        <v>2</v>
      </c>
      <c r="CU16" s="24">
        <f t="shared" si="0"/>
        <v>1303</v>
      </c>
      <c r="CV16" s="27">
        <f>PRODUCT(CU16,100)/CU7</f>
        <v>61.695075757575758</v>
      </c>
      <c r="CW16" s="18" t="s">
        <v>28</v>
      </c>
      <c r="CX16" s="38" t="s">
        <v>35</v>
      </c>
    </row>
    <row r="17" spans="1:102">
      <c r="A17" s="1"/>
      <c r="B17" s="8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</row>
    <row r="18" spans="1:102" ht="15.75" customHeight="1">
      <c r="A18" s="1"/>
      <c r="B18" s="8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</row>
    <row r="19" spans="1:102" ht="15.75" customHeight="1">
      <c r="A19" s="1"/>
      <c r="B19" s="8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</row>
    <row r="20" spans="1:102" ht="15.75" customHeight="1">
      <c r="A20" s="1"/>
      <c r="B20" s="8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</row>
    <row r="21" spans="1:102" ht="15.75" customHeight="1">
      <c r="A21" s="1"/>
      <c r="B21" s="8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</row>
    <row r="22" spans="1:102" ht="15.75" customHeight="1">
      <c r="A22" s="1"/>
      <c r="B22" s="8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</row>
    <row r="23" spans="1:102" ht="15.75" customHeight="1">
      <c r="A23" s="1"/>
      <c r="B23" s="8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</row>
    <row r="24" spans="1:102" ht="15.75" customHeight="1">
      <c r="A24" s="1"/>
      <c r="B24" s="8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</row>
    <row r="25" spans="1:102" ht="15.75" customHeight="1">
      <c r="A25" s="1"/>
      <c r="B25" s="8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</row>
    <row r="26" spans="1:102" ht="15.75" customHeight="1">
      <c r="A26" s="1"/>
      <c r="B26" s="8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</row>
    <row r="27" spans="1:102" ht="15.75" customHeight="1">
      <c r="A27" s="1"/>
      <c r="B27" s="8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</row>
    <row r="28" spans="1:102" ht="15.75" customHeight="1">
      <c r="A28" s="1"/>
      <c r="B28" s="8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</row>
    <row r="29" spans="1:102" ht="15.75" customHeight="1">
      <c r="A29" s="1"/>
      <c r="B29" s="8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</row>
    <row r="30" spans="1:102" ht="15.75" customHeight="1">
      <c r="A30" s="1"/>
      <c r="B30" s="8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</row>
    <row r="31" spans="1:102" ht="15.75" customHeight="1">
      <c r="A31" s="1"/>
      <c r="B31" s="8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</row>
    <row r="32" spans="1:102" ht="15.75" customHeight="1">
      <c r="A32" s="1"/>
      <c r="B32" s="8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</row>
    <row r="33" spans="1:102" ht="15.75" customHeight="1">
      <c r="A33" s="1"/>
      <c r="B33" s="8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</row>
    <row r="34" spans="1:102" ht="15.75" customHeight="1">
      <c r="A34" s="1"/>
      <c r="B34" s="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</row>
    <row r="35" spans="1:102" ht="15.75" customHeight="1">
      <c r="A35" s="1"/>
      <c r="B35" s="8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</row>
    <row r="36" spans="1:102" ht="15.75" customHeight="1">
      <c r="A36" s="1"/>
      <c r="B36" s="8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</row>
    <row r="37" spans="1:102" ht="15.75" customHeight="1">
      <c r="A37" s="1"/>
      <c r="B37" s="8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</row>
    <row r="38" spans="1:102" ht="15.75" customHeight="1">
      <c r="A38" s="1"/>
      <c r="B38" s="8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</row>
    <row r="39" spans="1:102" ht="15.75" customHeight="1">
      <c r="A39" s="1"/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</row>
    <row r="40" spans="1:102" ht="15.75" customHeight="1">
      <c r="A40" s="1"/>
      <c r="B40" s="8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</row>
    <row r="41" spans="1:102" ht="15.75" customHeight="1">
      <c r="A41" s="1"/>
      <c r="B41" s="8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</row>
    <row r="42" spans="1:102" ht="15.75" customHeight="1">
      <c r="A42" s="1"/>
      <c r="B42" s="8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</row>
    <row r="43" spans="1:102" ht="15.75" customHeight="1">
      <c r="A43" s="1"/>
      <c r="B43" s="8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</row>
    <row r="44" spans="1:102" ht="15.75" customHeight="1">
      <c r="A44" s="1"/>
      <c r="B44" s="8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</row>
    <row r="45" spans="1:102" ht="15.75" customHeight="1">
      <c r="A45" s="1"/>
      <c r="B45" s="8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</row>
    <row r="46" spans="1:102" ht="15.75" customHeight="1">
      <c r="A46" s="1"/>
      <c r="B46" s="8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</row>
    <row r="47" spans="1:102" ht="15.75" customHeight="1">
      <c r="A47" s="1"/>
      <c r="B47" s="8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</row>
    <row r="48" spans="1:102" ht="15.75" customHeight="1">
      <c r="A48" s="1"/>
      <c r="B48" s="8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</row>
    <row r="49" spans="1:102" ht="15.75" customHeight="1">
      <c r="A49" s="1"/>
      <c r="B49" s="8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</row>
    <row r="50" spans="1:102" ht="15.75" customHeight="1">
      <c r="A50" s="1"/>
      <c r="B50" s="8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</row>
    <row r="51" spans="1:102" ht="15.75" customHeight="1">
      <c r="A51" s="1"/>
      <c r="B51" s="8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</row>
    <row r="52" spans="1:102" ht="15.75" customHeight="1">
      <c r="A52" s="1"/>
      <c r="B52" s="8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</row>
    <row r="53" spans="1:102" ht="15.75" customHeight="1">
      <c r="A53" s="1"/>
      <c r="B53" s="8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</row>
    <row r="54" spans="1:102" ht="15.75" customHeight="1">
      <c r="A54" s="1"/>
      <c r="B54" s="8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</row>
    <row r="55" spans="1:102" ht="15.75" customHeight="1">
      <c r="A55" s="1"/>
      <c r="B55" s="8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</row>
    <row r="56" spans="1:102" ht="15.75" customHeight="1">
      <c r="A56" s="1"/>
      <c r="B56" s="8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</row>
    <row r="57" spans="1:102" ht="15.75" customHeight="1">
      <c r="A57" s="1"/>
      <c r="B57" s="8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</row>
    <row r="58" spans="1:102" ht="15.75" customHeight="1">
      <c r="A58" s="1"/>
      <c r="B58" s="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</row>
    <row r="59" spans="1:102" ht="15.75" customHeight="1">
      <c r="A59" s="1"/>
      <c r="B59" s="8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</row>
    <row r="60" spans="1:102" ht="15.75" customHeight="1">
      <c r="A60" s="1"/>
      <c r="B60" s="8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</row>
    <row r="61" spans="1:102" ht="15.75" customHeight="1">
      <c r="A61" s="1"/>
      <c r="B61" s="8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</row>
    <row r="62" spans="1:102" ht="15.75" customHeight="1">
      <c r="A62" s="1"/>
      <c r="B62" s="8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</row>
    <row r="63" spans="1:102" ht="15.75" customHeight="1">
      <c r="A63" s="1"/>
      <c r="B63" s="8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</row>
    <row r="64" spans="1:102" ht="15.75" customHeight="1">
      <c r="A64" s="1"/>
      <c r="B64" s="8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</row>
    <row r="65" spans="1:102" ht="15.75" customHeight="1">
      <c r="A65" s="1"/>
      <c r="B65" s="8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</row>
    <row r="66" spans="1:102" ht="15.75" customHeight="1">
      <c r="A66" s="1"/>
      <c r="B66" s="8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</row>
    <row r="67" spans="1:102" ht="15.75" customHeight="1">
      <c r="A67" s="1"/>
      <c r="B67" s="8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</row>
    <row r="68" spans="1:102" ht="15.75" customHeight="1">
      <c r="A68" s="1"/>
      <c r="B68" s="8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</row>
    <row r="69" spans="1:102" ht="15.75" customHeight="1">
      <c r="A69" s="1"/>
      <c r="B69" s="8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</row>
    <row r="70" spans="1:102" ht="15.75" customHeight="1">
      <c r="A70" s="1"/>
      <c r="B70" s="8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</row>
    <row r="71" spans="1:102" ht="15.75" customHeight="1">
      <c r="A71" s="1"/>
      <c r="B71" s="8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</row>
    <row r="72" spans="1:102" ht="15.75" customHeight="1">
      <c r="A72" s="1"/>
      <c r="B72" s="8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</row>
    <row r="73" spans="1:102" ht="15.75" customHeight="1">
      <c r="A73" s="1"/>
      <c r="B73" s="8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</row>
    <row r="74" spans="1:102" ht="15.75" customHeight="1">
      <c r="A74" s="1"/>
      <c r="B74" s="8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</row>
    <row r="75" spans="1:102" ht="15.75" customHeight="1">
      <c r="A75" s="1"/>
      <c r="B75" s="8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</row>
    <row r="76" spans="1:102" ht="15.75" customHeight="1">
      <c r="A76" s="1"/>
      <c r="B76" s="8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</row>
    <row r="77" spans="1:102" ht="15.75" customHeight="1">
      <c r="A77" s="1"/>
      <c r="B77" s="8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</row>
    <row r="78" spans="1:102" ht="15.75" customHeight="1">
      <c r="A78" s="1"/>
      <c r="B78" s="8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</row>
    <row r="79" spans="1:102" ht="15.75" customHeight="1">
      <c r="A79" s="1"/>
      <c r="B79" s="8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</row>
    <row r="80" spans="1:102" ht="15.75" customHeight="1">
      <c r="A80" s="1"/>
      <c r="B80" s="8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</row>
    <row r="81" spans="1:102" ht="15.75" customHeight="1">
      <c r="A81" s="1"/>
      <c r="B81" s="8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</row>
    <row r="82" spans="1:102" ht="15.75" customHeight="1">
      <c r="A82" s="1"/>
      <c r="B82" s="8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</row>
    <row r="83" spans="1:102" ht="15.75" customHeight="1">
      <c r="A83" s="1"/>
      <c r="B83" s="8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</row>
    <row r="84" spans="1:102" ht="15.75" customHeight="1">
      <c r="A84" s="1"/>
      <c r="B84" s="8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</row>
    <row r="85" spans="1:102" ht="15.75" customHeight="1">
      <c r="A85" s="1"/>
      <c r="B85" s="8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</row>
    <row r="86" spans="1:102" ht="15.75" customHeight="1">
      <c r="A86" s="1"/>
      <c r="B86" s="8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</row>
    <row r="87" spans="1:102" ht="15.75" customHeight="1">
      <c r="A87" s="1"/>
      <c r="B87" s="8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</row>
    <row r="88" spans="1:102" ht="15.75" customHeight="1">
      <c r="A88" s="1"/>
      <c r="B88" s="8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</row>
    <row r="89" spans="1:102" ht="15.75" customHeight="1">
      <c r="A89" s="1"/>
      <c r="B89" s="8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</row>
    <row r="90" spans="1:102" ht="15.75" customHeight="1">
      <c r="A90" s="1"/>
      <c r="B90" s="8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</row>
    <row r="91" spans="1:102" ht="15.75" customHeight="1">
      <c r="A91" s="1"/>
      <c r="B91" s="8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</row>
    <row r="92" spans="1:102" ht="15.75" customHeight="1">
      <c r="A92" s="1"/>
      <c r="B92" s="8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</row>
    <row r="93" spans="1:102" ht="15.75" customHeight="1">
      <c r="A93" s="1"/>
      <c r="B93" s="8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</row>
    <row r="94" spans="1:102" ht="15.75" customHeight="1">
      <c r="A94" s="1"/>
      <c r="B94" s="8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</row>
    <row r="95" spans="1:102" ht="15.75" customHeight="1">
      <c r="A95" s="1"/>
      <c r="B95" s="8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</row>
    <row r="96" spans="1:102" ht="15.75" customHeight="1">
      <c r="A96" s="1"/>
      <c r="B96" s="8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</row>
    <row r="97" spans="1:102" ht="15.75" customHeight="1">
      <c r="A97" s="1"/>
      <c r="B97" s="8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</row>
  </sheetData>
  <mergeCells count="4">
    <mergeCell ref="C2:U2"/>
    <mergeCell ref="V2:AY2"/>
    <mergeCell ref="AZ2:BS2"/>
    <mergeCell ref="BT2:CT2"/>
  </mergeCells>
  <conditionalFormatting sqref="C3:U16">
    <cfRule type="cellIs" dxfId="3" priority="51" operator="equal">
      <formula>0</formula>
    </cfRule>
  </conditionalFormatting>
  <conditionalFormatting sqref="V3:AY16">
    <cfRule type="cellIs" dxfId="2" priority="1" operator="equal">
      <formula>0</formula>
    </cfRule>
  </conditionalFormatting>
  <conditionalFormatting sqref="AZ3:BS16">
    <cfRule type="cellIs" dxfId="1" priority="31" operator="equal">
      <formula>0</formula>
    </cfRule>
  </conditionalFormatting>
  <conditionalFormatting sqref="BT3:CT16">
    <cfRule type="cellIs" dxfId="0" priority="52" operator="equal">
      <formula>0</formula>
    </cfRule>
  </conditionalFormatting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2022</vt:lpstr>
      <vt:lpstr>2023</vt:lpstr>
      <vt:lpstr>2024</vt:lpstr>
      <vt:lpstr>2025</vt:lpstr>
      <vt:lpstr>2026</vt:lpstr>
      <vt:lpstr>2022 al 2025 Juntas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alois.zagal</dc:creator>
  <cp:lastModifiedBy>User</cp:lastModifiedBy>
  <dcterms:created xsi:type="dcterms:W3CDTF">2026-05-14T14:52:00Z</dcterms:created>
  <dcterms:modified xsi:type="dcterms:W3CDTF">2026-07-30T15:46:21Z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2058-11.2.0.9967</vt:lpwstr>
  </property>
</Properties>
</file>